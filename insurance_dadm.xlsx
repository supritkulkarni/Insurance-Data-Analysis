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upkul/Documents/Insurance Data Analysis/InsuranceDataAnalysis/"/>
    </mc:Choice>
  </mc:AlternateContent>
  <xr:revisionPtr revIDLastSave="0" documentId="8_{6ABD9184-4C08-CA43-8B58-D028981226CE}" xr6:coauthVersionLast="47" xr6:coauthVersionMax="47" xr10:uidLastSave="{00000000-0000-0000-0000-000000000000}"/>
  <bookViews>
    <workbookView xWindow="380" yWindow="500" windowWidth="28040" windowHeight="16260" activeTab="1" xr2:uid="{65ECFD29-DF0B-6244-B16E-49E8DE628082}"/>
  </bookViews>
  <sheets>
    <sheet name="insurance" sheetId="1" r:id="rId1"/>
    <sheet name="insurance_dadm" sheetId="4" r:id="rId2"/>
    <sheet name="insurance_Summ1" sheetId="2" r:id="rId3"/>
    <sheet name="insurance_Summ2" sheetId="3" r:id="rId4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F7" i="4" l="1"/>
  <c r="E7" i="4"/>
  <c r="D7" i="4"/>
  <c r="C7" i="4"/>
  <c r="F6" i="4"/>
  <c r="E6" i="4"/>
  <c r="D6" i="4"/>
  <c r="C6" i="4"/>
  <c r="F5" i="4"/>
  <c r="E5" i="4"/>
  <c r="D5" i="4"/>
  <c r="C5" i="4"/>
  <c r="F4" i="4"/>
  <c r="E4" i="4"/>
  <c r="D4" i="4"/>
  <c r="C4" i="4"/>
  <c r="C27" i="3"/>
  <c r="C26" i="3"/>
  <c r="C25" i="3"/>
  <c r="C22" i="3"/>
  <c r="C21" i="3"/>
  <c r="C20" i="3"/>
  <c r="C19" i="3"/>
  <c r="C17" i="3"/>
  <c r="C18" i="3" s="1"/>
  <c r="C16" i="3"/>
  <c r="C15" i="3"/>
  <c r="C14" i="3"/>
  <c r="C13" i="3"/>
  <c r="C12" i="3"/>
  <c r="C11" i="3"/>
  <c r="C10" i="3"/>
  <c r="C9" i="3"/>
  <c r="C6" i="3"/>
  <c r="C5" i="3"/>
  <c r="H27" i="2" a="1"/>
  <c r="H27" i="2" s="1"/>
  <c r="H26" i="2" a="1"/>
  <c r="H26" i="2" s="1"/>
  <c r="H25" i="2" a="1"/>
  <c r="H25" i="2" s="1"/>
  <c r="H22" i="2" a="1"/>
  <c r="H22" i="2" s="1"/>
  <c r="H21" i="2" a="1"/>
  <c r="H21" i="2" s="1"/>
  <c r="H20" i="2" a="1"/>
  <c r="H20" i="2" s="1"/>
  <c r="H19" i="2" a="1"/>
  <c r="H19" i="2" s="1"/>
  <c r="H17" i="2" a="1"/>
  <c r="H17" i="2" s="1"/>
  <c r="H18" i="2" s="1"/>
  <c r="H16" i="2" a="1"/>
  <c r="H16" i="2" s="1"/>
  <c r="H15" i="2" a="1"/>
  <c r="H15" i="2" s="1"/>
  <c r="H14" i="2" a="1"/>
  <c r="H14" i="2" s="1"/>
  <c r="H13" i="2" a="1"/>
  <c r="H13" i="2" s="1"/>
  <c r="H12" i="2" a="1"/>
  <c r="H12" i="2" s="1"/>
  <c r="H11" i="2" a="1"/>
  <c r="H11" i="2" s="1"/>
  <c r="H10" i="2" a="1"/>
  <c r="H10" i="2" s="1"/>
  <c r="H9" i="2" a="1"/>
  <c r="H9" i="2" s="1"/>
  <c r="H5" i="2" a="1"/>
  <c r="H5" i="2" s="1"/>
  <c r="H4" i="2"/>
  <c r="H6" i="2" s="1"/>
  <c r="G27" i="2" a="1"/>
  <c r="G27" i="2" s="1"/>
  <c r="G26" i="2" a="1"/>
  <c r="G26" i="2" s="1"/>
  <c r="G25" i="2" a="1"/>
  <c r="G25" i="2" s="1"/>
  <c r="G22" i="2" a="1"/>
  <c r="G22" i="2" s="1"/>
  <c r="G21" i="2" a="1"/>
  <c r="G21" i="2" s="1"/>
  <c r="G20" i="2" a="1"/>
  <c r="G20" i="2" s="1"/>
  <c r="G19" i="2" a="1"/>
  <c r="G19" i="2" s="1"/>
  <c r="G17" i="2" a="1"/>
  <c r="G17" i="2" s="1"/>
  <c r="G16" i="2" a="1"/>
  <c r="G16" i="2" s="1"/>
  <c r="G18" i="2" s="1"/>
  <c r="G15" i="2" a="1"/>
  <c r="G15" i="2" s="1"/>
  <c r="G14" i="2" a="1"/>
  <c r="G14" i="2" s="1"/>
  <c r="G13" i="2" a="1"/>
  <c r="G13" i="2" s="1"/>
  <c r="G12" i="2" a="1"/>
  <c r="G12" i="2" s="1"/>
  <c r="G11" i="2" a="1"/>
  <c r="G11" i="2" s="1"/>
  <c r="G10" i="2" a="1"/>
  <c r="G10" i="2" s="1"/>
  <c r="G9" i="2" a="1"/>
  <c r="G9" i="2" s="1"/>
  <c r="G5" i="2" a="1"/>
  <c r="G5" i="2" s="1"/>
  <c r="G6" i="2" s="1"/>
  <c r="G4" i="2"/>
  <c r="F27" i="2" a="1"/>
  <c r="F27" i="2" s="1"/>
  <c r="F26" i="2" a="1"/>
  <c r="F26" i="2" s="1"/>
  <c r="F25" i="2" a="1"/>
  <c r="F25" i="2" s="1"/>
  <c r="F22" i="2" a="1"/>
  <c r="F22" i="2" s="1"/>
  <c r="F21" i="2" a="1"/>
  <c r="F21" i="2" s="1"/>
  <c r="F20" i="2" a="1"/>
  <c r="F20" i="2" s="1"/>
  <c r="F19" i="2" a="1"/>
  <c r="F19" i="2" s="1"/>
  <c r="F17" i="2" a="1"/>
  <c r="F17" i="2" s="1"/>
  <c r="F18" i="2" s="1"/>
  <c r="F16" i="2" a="1"/>
  <c r="F16" i="2" s="1"/>
  <c r="F15" i="2" a="1"/>
  <c r="F15" i="2" s="1"/>
  <c r="F14" i="2" a="1"/>
  <c r="F14" i="2" s="1"/>
  <c r="F13" i="2" a="1"/>
  <c r="F13" i="2" s="1"/>
  <c r="F12" i="2" a="1"/>
  <c r="F12" i="2" s="1"/>
  <c r="F11" i="2" a="1"/>
  <c r="F11" i="2" s="1"/>
  <c r="F10" i="2" a="1"/>
  <c r="F10" i="2" s="1"/>
  <c r="F9" i="2" a="1"/>
  <c r="F9" i="2" s="1"/>
  <c r="F5" i="2" a="1"/>
  <c r="F5" i="2" s="1"/>
  <c r="F6" i="2" s="1"/>
  <c r="F4" i="2"/>
  <c r="E27" i="2" a="1"/>
  <c r="E27" i="2" s="1"/>
  <c r="E26" i="2" a="1"/>
  <c r="E26" i="2" s="1"/>
  <c r="E25" i="2" a="1"/>
  <c r="E25" i="2" s="1"/>
  <c r="E22" i="2" a="1"/>
  <c r="E22" i="2" s="1"/>
  <c r="E21" i="2" a="1"/>
  <c r="E21" i="2" s="1"/>
  <c r="E20" i="2" a="1"/>
  <c r="E20" i="2" s="1"/>
  <c r="E19" i="2" a="1"/>
  <c r="E19" i="2" s="1"/>
  <c r="E17" i="2" a="1"/>
  <c r="E17" i="2" s="1"/>
  <c r="E18" i="2" s="1"/>
  <c r="E16" i="2" a="1"/>
  <c r="E16" i="2" s="1"/>
  <c r="E15" i="2" a="1"/>
  <c r="E15" i="2" s="1"/>
  <c r="E14" i="2" a="1"/>
  <c r="E14" i="2" s="1"/>
  <c r="E13" i="2" a="1"/>
  <c r="E13" i="2" s="1"/>
  <c r="E12" i="2" a="1"/>
  <c r="E12" i="2" s="1"/>
  <c r="E11" i="2" a="1"/>
  <c r="E11" i="2" s="1"/>
  <c r="E10" i="2" a="1"/>
  <c r="E10" i="2" s="1"/>
  <c r="E9" i="2" a="1"/>
  <c r="E9" i="2" s="1"/>
  <c r="E5" i="2" a="1"/>
  <c r="E5" i="2" s="1"/>
  <c r="E6" i="2" s="1"/>
  <c r="E4" i="2"/>
  <c r="D27" i="2" a="1"/>
  <c r="D27" i="2" s="1"/>
  <c r="D26" i="2" a="1"/>
  <c r="D26" i="2" s="1"/>
  <c r="D25" i="2" a="1"/>
  <c r="D25" i="2" s="1"/>
  <c r="D22" i="2" a="1"/>
  <c r="D22" i="2" s="1"/>
  <c r="D21" i="2" a="1"/>
  <c r="D21" i="2" s="1"/>
  <c r="D20" i="2" a="1"/>
  <c r="D20" i="2" s="1"/>
  <c r="D19" i="2" a="1"/>
  <c r="D19" i="2" s="1"/>
  <c r="D17" i="2" a="1"/>
  <c r="D17" i="2" s="1"/>
  <c r="D18" i="2" s="1"/>
  <c r="D16" i="2" a="1"/>
  <c r="D16" i="2" s="1"/>
  <c r="D15" i="2" a="1"/>
  <c r="D15" i="2" s="1"/>
  <c r="D14" i="2" a="1"/>
  <c r="D14" i="2" s="1"/>
  <c r="D13" i="2" a="1"/>
  <c r="D13" i="2" s="1"/>
  <c r="D12" i="2" a="1"/>
  <c r="D12" i="2" s="1"/>
  <c r="D11" i="2" a="1"/>
  <c r="D11" i="2" s="1"/>
  <c r="D10" i="2" a="1"/>
  <c r="D10" i="2" s="1"/>
  <c r="D9" i="2" a="1"/>
  <c r="D9" i="2" s="1"/>
  <c r="D5" i="2" a="1"/>
  <c r="D5" i="2" s="1"/>
  <c r="D6" i="2" s="1"/>
  <c r="D4" i="2"/>
  <c r="C27" i="2" a="1"/>
  <c r="C27" i="2" s="1"/>
  <c r="C26" i="2" a="1"/>
  <c r="C26" i="2" s="1"/>
  <c r="C25" i="2" a="1"/>
  <c r="C25" i="2" s="1"/>
  <c r="C22" i="2" a="1"/>
  <c r="C22" i="2" s="1"/>
  <c r="C21" i="2" a="1"/>
  <c r="C21" i="2" s="1"/>
  <c r="C20" i="2" a="1"/>
  <c r="C20" i="2" s="1"/>
  <c r="C19" i="2" a="1"/>
  <c r="C19" i="2" s="1"/>
  <c r="C17" i="2" a="1"/>
  <c r="C17" i="2" s="1"/>
  <c r="C18" i="2" s="1"/>
  <c r="C16" i="2" a="1"/>
  <c r="C16" i="2" s="1"/>
  <c r="C15" i="2" a="1"/>
  <c r="C15" i="2" s="1"/>
  <c r="C14" i="2" a="1"/>
  <c r="C14" i="2" s="1"/>
  <c r="C13" i="2" a="1"/>
  <c r="C13" i="2" s="1"/>
  <c r="C12" i="2" a="1"/>
  <c r="C12" i="2" s="1"/>
  <c r="C11" i="2" a="1"/>
  <c r="C11" i="2" s="1"/>
  <c r="C10" i="2" a="1"/>
  <c r="C10" i="2" s="1"/>
  <c r="C9" i="2" a="1"/>
  <c r="C9" i="2" s="1"/>
  <c r="C5" i="2" a="1"/>
  <c r="C5" i="2" s="1"/>
  <c r="C6" i="2" s="1"/>
  <c r="C4" i="2"/>
  <c r="C4" i="3" l="1"/>
</calcChain>
</file>

<file path=xl/sharedStrings.xml><?xml version="1.0" encoding="utf-8"?>
<sst xmlns="http://purl.oclc.org/ooxml/spreadsheetml/main" count="4085" uniqueCount="47">
  <si>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</si>
  <si>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</si>
  <si>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</si>
  <si>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</si>
  <si>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</si>
  <si>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</si>
  <si>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</si>
  <si>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</si>
  <si>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</si>
  <si>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</si>
  <si>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</si>
  <si>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</si>
  <si>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</si>
  <si>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</si>
  <si>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</si>
  <si>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Summary stats for selected variables broken down by categories of children</t>
  </si>
  <si>
    <t>Variable</t>
  </si>
  <si>
    <t># observations</t>
  </si>
  <si>
    <t># numeric</t>
  </si>
  <si>
    <t># missing</t>
  </si>
  <si>
    <t>Measures in same units as data</t>
  </si>
  <si>
    <t>Min</t>
  </si>
  <si>
    <t>Max</t>
  </si>
  <si>
    <t>Sum</t>
  </si>
  <si>
    <t>Mean</t>
  </si>
  <si>
    <t>Median</t>
  </si>
  <si>
    <t>Std Dev</t>
  </si>
  <si>
    <t>Mean Abs Dev</t>
  </si>
  <si>
    <t>Quartile 1</t>
  </si>
  <si>
    <t>Quartile 3</t>
  </si>
  <si>
    <t>IQR</t>
  </si>
  <si>
    <t>1st percentile</t>
  </si>
  <si>
    <t>5th percentile</t>
  </si>
  <si>
    <t>95th percentile</t>
  </si>
  <si>
    <t>99th percentile</t>
  </si>
  <si>
    <t>Measures not in same units as data</t>
  </si>
  <si>
    <t>Variance</t>
  </si>
  <si>
    <t>Skewness</t>
  </si>
  <si>
    <t>Kurtosis</t>
  </si>
  <si>
    <t>charges_0</t>
  </si>
  <si>
    <t>charges_1</t>
  </si>
  <si>
    <t>charges_2</t>
  </si>
  <si>
    <t>charges_3</t>
  </si>
  <si>
    <t>charges_4</t>
  </si>
  <si>
    <t>charges_5</t>
  </si>
  <si>
    <t>Summary stats for selected variables</t>
  </si>
  <si>
    <t>Table of requested correlations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</si>
</sst>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/>
            </a:pPr>
            <a:r>
              <a:rPr lang="en-GB" sz="1000" b="0"/>
              <a:t>age vs age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3"/>
            <c:spPr>
              <a:ln/>
            </c:spPr>
          </c:marker>
          <c:xVal>
            <c:numRef>
              <c:f>insurance!$A$2:$A$1339</c:f>
              <c:numCache>
                <c:formatCode>General</c:formatCode>
                <c:ptCount val="1338"/>
                <c:pt idx="0">
                  <c:v>19</c:v>
                </c:pt>
                <c:pt idx="1">
                  <c:v>18</c:v>
                </c:pt>
                <c:pt idx="2">
                  <c:v>28</c:v>
                </c:pt>
                <c:pt idx="3">
                  <c:v>33</c:v>
                </c:pt>
                <c:pt idx="4">
                  <c:v>32</c:v>
                </c:pt>
                <c:pt idx="5">
                  <c:v>31</c:v>
                </c:pt>
                <c:pt idx="6">
                  <c:v>46</c:v>
                </c:pt>
                <c:pt idx="7">
                  <c:v>37</c:v>
                </c:pt>
                <c:pt idx="8">
                  <c:v>37</c:v>
                </c:pt>
                <c:pt idx="9">
                  <c:v>60</c:v>
                </c:pt>
                <c:pt idx="10">
                  <c:v>25</c:v>
                </c:pt>
                <c:pt idx="11">
                  <c:v>62</c:v>
                </c:pt>
                <c:pt idx="12">
                  <c:v>23</c:v>
                </c:pt>
                <c:pt idx="13">
                  <c:v>56</c:v>
                </c:pt>
                <c:pt idx="14">
                  <c:v>27</c:v>
                </c:pt>
                <c:pt idx="15">
                  <c:v>19</c:v>
                </c:pt>
                <c:pt idx="16">
                  <c:v>52</c:v>
                </c:pt>
                <c:pt idx="17">
                  <c:v>23</c:v>
                </c:pt>
                <c:pt idx="18">
                  <c:v>56</c:v>
                </c:pt>
                <c:pt idx="19">
                  <c:v>30</c:v>
                </c:pt>
                <c:pt idx="20">
                  <c:v>60</c:v>
                </c:pt>
                <c:pt idx="21">
                  <c:v>30</c:v>
                </c:pt>
                <c:pt idx="22">
                  <c:v>18</c:v>
                </c:pt>
                <c:pt idx="23">
                  <c:v>34</c:v>
                </c:pt>
                <c:pt idx="24">
                  <c:v>37</c:v>
                </c:pt>
                <c:pt idx="25">
                  <c:v>59</c:v>
                </c:pt>
                <c:pt idx="26">
                  <c:v>63</c:v>
                </c:pt>
                <c:pt idx="27">
                  <c:v>55</c:v>
                </c:pt>
                <c:pt idx="28">
                  <c:v>23</c:v>
                </c:pt>
                <c:pt idx="29">
                  <c:v>31</c:v>
                </c:pt>
                <c:pt idx="30">
                  <c:v>22</c:v>
                </c:pt>
                <c:pt idx="31">
                  <c:v>18</c:v>
                </c:pt>
                <c:pt idx="32">
                  <c:v>19</c:v>
                </c:pt>
                <c:pt idx="33">
                  <c:v>63</c:v>
                </c:pt>
                <c:pt idx="34">
                  <c:v>28</c:v>
                </c:pt>
                <c:pt idx="35">
                  <c:v>19</c:v>
                </c:pt>
                <c:pt idx="36">
                  <c:v>62</c:v>
                </c:pt>
                <c:pt idx="37">
                  <c:v>26</c:v>
                </c:pt>
                <c:pt idx="38">
                  <c:v>35</c:v>
                </c:pt>
                <c:pt idx="39">
                  <c:v>60</c:v>
                </c:pt>
                <c:pt idx="40">
                  <c:v>24</c:v>
                </c:pt>
                <c:pt idx="41">
                  <c:v>31</c:v>
                </c:pt>
                <c:pt idx="42">
                  <c:v>41</c:v>
                </c:pt>
                <c:pt idx="43">
                  <c:v>37</c:v>
                </c:pt>
                <c:pt idx="44">
                  <c:v>38</c:v>
                </c:pt>
                <c:pt idx="45">
                  <c:v>55</c:v>
                </c:pt>
                <c:pt idx="46">
                  <c:v>18</c:v>
                </c:pt>
                <c:pt idx="47">
                  <c:v>28</c:v>
                </c:pt>
                <c:pt idx="48">
                  <c:v>60</c:v>
                </c:pt>
                <c:pt idx="49">
                  <c:v>36</c:v>
                </c:pt>
                <c:pt idx="50">
                  <c:v>18</c:v>
                </c:pt>
                <c:pt idx="51">
                  <c:v>21</c:v>
                </c:pt>
                <c:pt idx="52">
                  <c:v>48</c:v>
                </c:pt>
                <c:pt idx="53">
                  <c:v>36</c:v>
                </c:pt>
                <c:pt idx="54">
                  <c:v>40</c:v>
                </c:pt>
                <c:pt idx="55">
                  <c:v>58</c:v>
                </c:pt>
                <c:pt idx="56">
                  <c:v>58</c:v>
                </c:pt>
                <c:pt idx="57">
                  <c:v>18</c:v>
                </c:pt>
                <c:pt idx="58">
                  <c:v>53</c:v>
                </c:pt>
                <c:pt idx="59">
                  <c:v>34</c:v>
                </c:pt>
                <c:pt idx="60">
                  <c:v>43</c:v>
                </c:pt>
                <c:pt idx="61">
                  <c:v>25</c:v>
                </c:pt>
                <c:pt idx="62">
                  <c:v>64</c:v>
                </c:pt>
                <c:pt idx="63">
                  <c:v>28</c:v>
                </c:pt>
                <c:pt idx="64">
                  <c:v>20</c:v>
                </c:pt>
                <c:pt idx="65">
                  <c:v>19</c:v>
                </c:pt>
                <c:pt idx="66">
                  <c:v>61</c:v>
                </c:pt>
                <c:pt idx="67">
                  <c:v>40</c:v>
                </c:pt>
                <c:pt idx="68">
                  <c:v>40</c:v>
                </c:pt>
                <c:pt idx="69">
                  <c:v>28</c:v>
                </c:pt>
                <c:pt idx="70">
                  <c:v>27</c:v>
                </c:pt>
                <c:pt idx="71">
                  <c:v>31</c:v>
                </c:pt>
                <c:pt idx="72">
                  <c:v>53</c:v>
                </c:pt>
                <c:pt idx="73">
                  <c:v>58</c:v>
                </c:pt>
                <c:pt idx="74">
                  <c:v>44</c:v>
                </c:pt>
                <c:pt idx="75">
                  <c:v>57</c:v>
                </c:pt>
                <c:pt idx="76">
                  <c:v>29</c:v>
                </c:pt>
                <c:pt idx="77">
                  <c:v>21</c:v>
                </c:pt>
                <c:pt idx="78">
                  <c:v>22</c:v>
                </c:pt>
                <c:pt idx="79">
                  <c:v>41</c:v>
                </c:pt>
                <c:pt idx="80">
                  <c:v>31</c:v>
                </c:pt>
                <c:pt idx="81">
                  <c:v>45</c:v>
                </c:pt>
                <c:pt idx="82">
                  <c:v>22</c:v>
                </c:pt>
                <c:pt idx="83">
                  <c:v>48</c:v>
                </c:pt>
                <c:pt idx="84">
                  <c:v>37</c:v>
                </c:pt>
                <c:pt idx="85">
                  <c:v>45</c:v>
                </c:pt>
                <c:pt idx="86">
                  <c:v>57</c:v>
                </c:pt>
                <c:pt idx="87">
                  <c:v>56</c:v>
                </c:pt>
                <c:pt idx="88">
                  <c:v>46</c:v>
                </c:pt>
                <c:pt idx="89">
                  <c:v>55</c:v>
                </c:pt>
                <c:pt idx="90">
                  <c:v>21</c:v>
                </c:pt>
                <c:pt idx="91">
                  <c:v>53</c:v>
                </c:pt>
                <c:pt idx="92">
                  <c:v>59</c:v>
                </c:pt>
                <c:pt idx="93">
                  <c:v>35</c:v>
                </c:pt>
                <c:pt idx="94">
                  <c:v>64</c:v>
                </c:pt>
                <c:pt idx="95">
                  <c:v>28</c:v>
                </c:pt>
                <c:pt idx="96">
                  <c:v>54</c:v>
                </c:pt>
                <c:pt idx="97">
                  <c:v>55</c:v>
                </c:pt>
                <c:pt idx="98">
                  <c:v>56</c:v>
                </c:pt>
                <c:pt idx="99">
                  <c:v>38</c:v>
                </c:pt>
                <c:pt idx="100">
                  <c:v>41</c:v>
                </c:pt>
                <c:pt idx="101">
                  <c:v>30</c:v>
                </c:pt>
                <c:pt idx="102">
                  <c:v>18</c:v>
                </c:pt>
                <c:pt idx="103">
                  <c:v>61</c:v>
                </c:pt>
                <c:pt idx="104">
                  <c:v>34</c:v>
                </c:pt>
                <c:pt idx="105">
                  <c:v>20</c:v>
                </c:pt>
                <c:pt idx="106">
                  <c:v>19</c:v>
                </c:pt>
                <c:pt idx="107">
                  <c:v>26</c:v>
                </c:pt>
                <c:pt idx="108">
                  <c:v>29</c:v>
                </c:pt>
                <c:pt idx="109">
                  <c:v>63</c:v>
                </c:pt>
                <c:pt idx="110">
                  <c:v>54</c:v>
                </c:pt>
                <c:pt idx="111">
                  <c:v>55</c:v>
                </c:pt>
                <c:pt idx="112">
                  <c:v>37</c:v>
                </c:pt>
                <c:pt idx="113">
                  <c:v>21</c:v>
                </c:pt>
                <c:pt idx="114">
                  <c:v>52</c:v>
                </c:pt>
                <c:pt idx="115">
                  <c:v>60</c:v>
                </c:pt>
                <c:pt idx="116">
                  <c:v>58</c:v>
                </c:pt>
                <c:pt idx="117">
                  <c:v>29</c:v>
                </c:pt>
                <c:pt idx="118">
                  <c:v>49</c:v>
                </c:pt>
                <c:pt idx="119">
                  <c:v>37</c:v>
                </c:pt>
                <c:pt idx="120">
                  <c:v>44</c:v>
                </c:pt>
                <c:pt idx="121">
                  <c:v>18</c:v>
                </c:pt>
                <c:pt idx="122">
                  <c:v>20</c:v>
                </c:pt>
                <c:pt idx="123">
                  <c:v>44</c:v>
                </c:pt>
                <c:pt idx="124">
                  <c:v>47</c:v>
                </c:pt>
                <c:pt idx="125">
                  <c:v>26</c:v>
                </c:pt>
                <c:pt idx="126">
                  <c:v>19</c:v>
                </c:pt>
                <c:pt idx="127">
                  <c:v>52</c:v>
                </c:pt>
                <c:pt idx="128">
                  <c:v>32</c:v>
                </c:pt>
                <c:pt idx="129">
                  <c:v>38</c:v>
                </c:pt>
                <c:pt idx="130">
                  <c:v>59</c:v>
                </c:pt>
                <c:pt idx="131">
                  <c:v>61</c:v>
                </c:pt>
                <c:pt idx="132">
                  <c:v>53</c:v>
                </c:pt>
                <c:pt idx="133">
                  <c:v>19</c:v>
                </c:pt>
                <c:pt idx="134">
                  <c:v>20</c:v>
                </c:pt>
                <c:pt idx="135">
                  <c:v>22</c:v>
                </c:pt>
                <c:pt idx="136">
                  <c:v>19</c:v>
                </c:pt>
                <c:pt idx="137">
                  <c:v>22</c:v>
                </c:pt>
                <c:pt idx="138">
                  <c:v>54</c:v>
                </c:pt>
                <c:pt idx="139">
                  <c:v>22</c:v>
                </c:pt>
                <c:pt idx="140">
                  <c:v>34</c:v>
                </c:pt>
                <c:pt idx="141">
                  <c:v>26</c:v>
                </c:pt>
                <c:pt idx="142">
                  <c:v>34</c:v>
                </c:pt>
                <c:pt idx="143">
                  <c:v>29</c:v>
                </c:pt>
                <c:pt idx="144">
                  <c:v>30</c:v>
                </c:pt>
                <c:pt idx="145">
                  <c:v>29</c:v>
                </c:pt>
                <c:pt idx="146">
                  <c:v>46</c:v>
                </c:pt>
                <c:pt idx="147">
                  <c:v>51</c:v>
                </c:pt>
                <c:pt idx="148">
                  <c:v>53</c:v>
                </c:pt>
                <c:pt idx="149">
                  <c:v>19</c:v>
                </c:pt>
                <c:pt idx="150">
                  <c:v>35</c:v>
                </c:pt>
                <c:pt idx="151">
                  <c:v>48</c:v>
                </c:pt>
                <c:pt idx="152">
                  <c:v>32</c:v>
                </c:pt>
                <c:pt idx="153">
                  <c:v>42</c:v>
                </c:pt>
                <c:pt idx="154">
                  <c:v>40</c:v>
                </c:pt>
                <c:pt idx="155">
                  <c:v>44</c:v>
                </c:pt>
                <c:pt idx="156">
                  <c:v>48</c:v>
                </c:pt>
                <c:pt idx="157">
                  <c:v>18</c:v>
                </c:pt>
                <c:pt idx="158">
                  <c:v>30</c:v>
                </c:pt>
                <c:pt idx="159">
                  <c:v>50</c:v>
                </c:pt>
                <c:pt idx="160">
                  <c:v>42</c:v>
                </c:pt>
                <c:pt idx="161">
                  <c:v>18</c:v>
                </c:pt>
                <c:pt idx="162">
                  <c:v>54</c:v>
                </c:pt>
                <c:pt idx="163">
                  <c:v>32</c:v>
                </c:pt>
                <c:pt idx="164">
                  <c:v>37</c:v>
                </c:pt>
                <c:pt idx="165">
                  <c:v>47</c:v>
                </c:pt>
                <c:pt idx="166">
                  <c:v>20</c:v>
                </c:pt>
                <c:pt idx="167">
                  <c:v>32</c:v>
                </c:pt>
                <c:pt idx="168">
                  <c:v>19</c:v>
                </c:pt>
                <c:pt idx="169">
                  <c:v>27</c:v>
                </c:pt>
                <c:pt idx="170">
                  <c:v>63</c:v>
                </c:pt>
                <c:pt idx="171">
                  <c:v>49</c:v>
                </c:pt>
                <c:pt idx="172">
                  <c:v>18</c:v>
                </c:pt>
                <c:pt idx="173">
                  <c:v>35</c:v>
                </c:pt>
                <c:pt idx="174">
                  <c:v>24</c:v>
                </c:pt>
                <c:pt idx="175">
                  <c:v>63</c:v>
                </c:pt>
                <c:pt idx="176">
                  <c:v>38</c:v>
                </c:pt>
                <c:pt idx="177">
                  <c:v>54</c:v>
                </c:pt>
                <c:pt idx="178">
                  <c:v>46</c:v>
                </c:pt>
                <c:pt idx="179">
                  <c:v>41</c:v>
                </c:pt>
                <c:pt idx="180">
                  <c:v>58</c:v>
                </c:pt>
                <c:pt idx="181">
                  <c:v>18</c:v>
                </c:pt>
                <c:pt idx="182">
                  <c:v>22</c:v>
                </c:pt>
                <c:pt idx="183">
                  <c:v>44</c:v>
                </c:pt>
                <c:pt idx="184">
                  <c:v>44</c:v>
                </c:pt>
                <c:pt idx="185">
                  <c:v>36</c:v>
                </c:pt>
                <c:pt idx="186">
                  <c:v>26</c:v>
                </c:pt>
                <c:pt idx="187">
                  <c:v>30</c:v>
                </c:pt>
                <c:pt idx="188">
                  <c:v>41</c:v>
                </c:pt>
                <c:pt idx="189">
                  <c:v>29</c:v>
                </c:pt>
                <c:pt idx="190">
                  <c:v>61</c:v>
                </c:pt>
                <c:pt idx="191">
                  <c:v>36</c:v>
                </c:pt>
                <c:pt idx="192">
                  <c:v>25</c:v>
                </c:pt>
                <c:pt idx="193">
                  <c:v>56</c:v>
                </c:pt>
                <c:pt idx="194">
                  <c:v>18</c:v>
                </c:pt>
                <c:pt idx="195">
                  <c:v>19</c:v>
                </c:pt>
                <c:pt idx="196">
                  <c:v>39</c:v>
                </c:pt>
                <c:pt idx="197">
                  <c:v>45</c:v>
                </c:pt>
                <c:pt idx="198">
                  <c:v>51</c:v>
                </c:pt>
                <c:pt idx="199">
                  <c:v>64</c:v>
                </c:pt>
                <c:pt idx="200">
                  <c:v>19</c:v>
                </c:pt>
                <c:pt idx="201">
                  <c:v>48</c:v>
                </c:pt>
                <c:pt idx="202">
                  <c:v>60</c:v>
                </c:pt>
                <c:pt idx="203">
                  <c:v>27</c:v>
                </c:pt>
                <c:pt idx="204">
                  <c:v>46</c:v>
                </c:pt>
                <c:pt idx="205">
                  <c:v>28</c:v>
                </c:pt>
                <c:pt idx="206">
                  <c:v>59</c:v>
                </c:pt>
                <c:pt idx="207">
                  <c:v>35</c:v>
                </c:pt>
                <c:pt idx="208">
                  <c:v>63</c:v>
                </c:pt>
                <c:pt idx="209">
                  <c:v>40</c:v>
                </c:pt>
                <c:pt idx="210">
                  <c:v>20</c:v>
                </c:pt>
                <c:pt idx="211">
                  <c:v>40</c:v>
                </c:pt>
                <c:pt idx="212">
                  <c:v>24</c:v>
                </c:pt>
                <c:pt idx="213">
                  <c:v>34</c:v>
                </c:pt>
                <c:pt idx="214">
                  <c:v>45</c:v>
                </c:pt>
                <c:pt idx="215">
                  <c:v>41</c:v>
                </c:pt>
                <c:pt idx="216">
                  <c:v>53</c:v>
                </c:pt>
                <c:pt idx="217">
                  <c:v>27</c:v>
                </c:pt>
                <c:pt idx="218">
                  <c:v>26</c:v>
                </c:pt>
                <c:pt idx="219">
                  <c:v>24</c:v>
                </c:pt>
                <c:pt idx="220">
                  <c:v>34</c:v>
                </c:pt>
                <c:pt idx="221">
                  <c:v>53</c:v>
                </c:pt>
                <c:pt idx="222">
                  <c:v>32</c:v>
                </c:pt>
                <c:pt idx="223">
                  <c:v>19</c:v>
                </c:pt>
                <c:pt idx="224">
                  <c:v>42</c:v>
                </c:pt>
                <c:pt idx="225">
                  <c:v>55</c:v>
                </c:pt>
                <c:pt idx="226">
                  <c:v>28</c:v>
                </c:pt>
                <c:pt idx="227">
                  <c:v>58</c:v>
                </c:pt>
                <c:pt idx="228">
                  <c:v>41</c:v>
                </c:pt>
                <c:pt idx="229">
                  <c:v>47</c:v>
                </c:pt>
                <c:pt idx="230">
                  <c:v>42</c:v>
                </c:pt>
                <c:pt idx="231">
                  <c:v>59</c:v>
                </c:pt>
                <c:pt idx="232">
                  <c:v>19</c:v>
                </c:pt>
                <c:pt idx="233">
                  <c:v>59</c:v>
                </c:pt>
                <c:pt idx="234">
                  <c:v>39</c:v>
                </c:pt>
                <c:pt idx="235">
                  <c:v>40</c:v>
                </c:pt>
                <c:pt idx="236">
                  <c:v>18</c:v>
                </c:pt>
                <c:pt idx="237">
                  <c:v>31</c:v>
                </c:pt>
                <c:pt idx="238">
                  <c:v>19</c:v>
                </c:pt>
                <c:pt idx="239">
                  <c:v>44</c:v>
                </c:pt>
                <c:pt idx="240">
                  <c:v>23</c:v>
                </c:pt>
                <c:pt idx="241">
                  <c:v>33</c:v>
                </c:pt>
                <c:pt idx="242">
                  <c:v>55</c:v>
                </c:pt>
                <c:pt idx="243">
                  <c:v>40</c:v>
                </c:pt>
                <c:pt idx="244">
                  <c:v>63</c:v>
                </c:pt>
                <c:pt idx="245">
                  <c:v>54</c:v>
                </c:pt>
                <c:pt idx="246">
                  <c:v>60</c:v>
                </c:pt>
                <c:pt idx="247">
                  <c:v>24</c:v>
                </c:pt>
                <c:pt idx="248">
                  <c:v>19</c:v>
                </c:pt>
                <c:pt idx="249">
                  <c:v>29</c:v>
                </c:pt>
                <c:pt idx="250">
                  <c:v>18</c:v>
                </c:pt>
                <c:pt idx="251">
                  <c:v>63</c:v>
                </c:pt>
                <c:pt idx="252">
                  <c:v>54</c:v>
                </c:pt>
                <c:pt idx="253">
                  <c:v>27</c:v>
                </c:pt>
                <c:pt idx="254">
                  <c:v>50</c:v>
                </c:pt>
                <c:pt idx="255">
                  <c:v>55</c:v>
                </c:pt>
                <c:pt idx="256">
                  <c:v>56</c:v>
                </c:pt>
                <c:pt idx="257">
                  <c:v>38</c:v>
                </c:pt>
                <c:pt idx="258">
                  <c:v>51</c:v>
                </c:pt>
                <c:pt idx="259">
                  <c:v>19</c:v>
                </c:pt>
                <c:pt idx="260">
                  <c:v>58</c:v>
                </c:pt>
                <c:pt idx="261">
                  <c:v>20</c:v>
                </c:pt>
                <c:pt idx="262">
                  <c:v>52</c:v>
                </c:pt>
                <c:pt idx="263">
                  <c:v>19</c:v>
                </c:pt>
                <c:pt idx="264">
                  <c:v>53</c:v>
                </c:pt>
                <c:pt idx="265">
                  <c:v>46</c:v>
                </c:pt>
                <c:pt idx="266">
                  <c:v>40</c:v>
                </c:pt>
                <c:pt idx="267">
                  <c:v>59</c:v>
                </c:pt>
                <c:pt idx="268">
                  <c:v>45</c:v>
                </c:pt>
                <c:pt idx="269">
                  <c:v>49</c:v>
                </c:pt>
                <c:pt idx="270">
                  <c:v>18</c:v>
                </c:pt>
                <c:pt idx="271">
                  <c:v>50</c:v>
                </c:pt>
                <c:pt idx="272">
                  <c:v>41</c:v>
                </c:pt>
                <c:pt idx="273">
                  <c:v>50</c:v>
                </c:pt>
                <c:pt idx="274">
                  <c:v>25</c:v>
                </c:pt>
                <c:pt idx="275">
                  <c:v>47</c:v>
                </c:pt>
                <c:pt idx="276">
                  <c:v>19</c:v>
                </c:pt>
                <c:pt idx="277">
                  <c:v>22</c:v>
                </c:pt>
                <c:pt idx="278">
                  <c:v>59</c:v>
                </c:pt>
                <c:pt idx="279">
                  <c:v>51</c:v>
                </c:pt>
                <c:pt idx="280">
                  <c:v>40</c:v>
                </c:pt>
                <c:pt idx="281">
                  <c:v>54</c:v>
                </c:pt>
                <c:pt idx="282">
                  <c:v>30</c:v>
                </c:pt>
                <c:pt idx="283">
                  <c:v>55</c:v>
                </c:pt>
                <c:pt idx="284">
                  <c:v>52</c:v>
                </c:pt>
                <c:pt idx="285">
                  <c:v>46</c:v>
                </c:pt>
                <c:pt idx="286">
                  <c:v>46</c:v>
                </c:pt>
                <c:pt idx="287">
                  <c:v>63</c:v>
                </c:pt>
                <c:pt idx="288">
                  <c:v>59</c:v>
                </c:pt>
                <c:pt idx="289">
                  <c:v>52</c:v>
                </c:pt>
                <c:pt idx="290">
                  <c:v>28</c:v>
                </c:pt>
                <c:pt idx="291">
                  <c:v>29</c:v>
                </c:pt>
                <c:pt idx="292">
                  <c:v>25</c:v>
                </c:pt>
                <c:pt idx="293">
                  <c:v>22</c:v>
                </c:pt>
                <c:pt idx="294">
                  <c:v>25</c:v>
                </c:pt>
                <c:pt idx="295">
                  <c:v>18</c:v>
                </c:pt>
                <c:pt idx="296">
                  <c:v>19</c:v>
                </c:pt>
                <c:pt idx="297">
                  <c:v>47</c:v>
                </c:pt>
                <c:pt idx="298">
                  <c:v>31</c:v>
                </c:pt>
                <c:pt idx="299">
                  <c:v>48</c:v>
                </c:pt>
                <c:pt idx="300">
                  <c:v>36</c:v>
                </c:pt>
                <c:pt idx="301">
                  <c:v>53</c:v>
                </c:pt>
                <c:pt idx="302">
                  <c:v>56</c:v>
                </c:pt>
                <c:pt idx="303">
                  <c:v>28</c:v>
                </c:pt>
                <c:pt idx="304">
                  <c:v>57</c:v>
                </c:pt>
                <c:pt idx="305">
                  <c:v>29</c:v>
                </c:pt>
                <c:pt idx="306">
                  <c:v>28</c:v>
                </c:pt>
                <c:pt idx="307">
                  <c:v>30</c:v>
                </c:pt>
                <c:pt idx="308">
                  <c:v>58</c:v>
                </c:pt>
                <c:pt idx="309">
                  <c:v>41</c:v>
                </c:pt>
                <c:pt idx="310">
                  <c:v>50</c:v>
                </c:pt>
                <c:pt idx="311">
                  <c:v>19</c:v>
                </c:pt>
                <c:pt idx="312">
                  <c:v>43</c:v>
                </c:pt>
                <c:pt idx="313">
                  <c:v>49</c:v>
                </c:pt>
                <c:pt idx="314">
                  <c:v>27</c:v>
                </c:pt>
                <c:pt idx="315">
                  <c:v>52</c:v>
                </c:pt>
                <c:pt idx="316">
                  <c:v>50</c:v>
                </c:pt>
                <c:pt idx="317">
                  <c:v>54</c:v>
                </c:pt>
                <c:pt idx="318">
                  <c:v>44</c:v>
                </c:pt>
                <c:pt idx="319">
                  <c:v>32</c:v>
                </c:pt>
                <c:pt idx="320">
                  <c:v>34</c:v>
                </c:pt>
                <c:pt idx="321">
                  <c:v>26</c:v>
                </c:pt>
                <c:pt idx="322">
                  <c:v>34</c:v>
                </c:pt>
                <c:pt idx="323">
                  <c:v>57</c:v>
                </c:pt>
                <c:pt idx="324">
                  <c:v>29</c:v>
                </c:pt>
                <c:pt idx="325">
                  <c:v>40</c:v>
                </c:pt>
                <c:pt idx="326">
                  <c:v>27</c:v>
                </c:pt>
                <c:pt idx="327">
                  <c:v>45</c:v>
                </c:pt>
                <c:pt idx="328">
                  <c:v>64</c:v>
                </c:pt>
                <c:pt idx="329">
                  <c:v>52</c:v>
                </c:pt>
                <c:pt idx="330">
                  <c:v>61</c:v>
                </c:pt>
                <c:pt idx="331">
                  <c:v>52</c:v>
                </c:pt>
                <c:pt idx="332">
                  <c:v>61</c:v>
                </c:pt>
                <c:pt idx="333">
                  <c:v>56</c:v>
                </c:pt>
                <c:pt idx="334">
                  <c:v>43</c:v>
                </c:pt>
                <c:pt idx="335">
                  <c:v>64</c:v>
                </c:pt>
                <c:pt idx="336">
                  <c:v>60</c:v>
                </c:pt>
                <c:pt idx="337">
                  <c:v>62</c:v>
                </c:pt>
                <c:pt idx="338">
                  <c:v>50</c:v>
                </c:pt>
                <c:pt idx="339">
                  <c:v>46</c:v>
                </c:pt>
                <c:pt idx="340">
                  <c:v>24</c:v>
                </c:pt>
                <c:pt idx="341">
                  <c:v>62</c:v>
                </c:pt>
                <c:pt idx="342">
                  <c:v>60</c:v>
                </c:pt>
                <c:pt idx="343">
                  <c:v>63</c:v>
                </c:pt>
                <c:pt idx="344">
                  <c:v>49</c:v>
                </c:pt>
                <c:pt idx="345">
                  <c:v>34</c:v>
                </c:pt>
                <c:pt idx="346">
                  <c:v>33</c:v>
                </c:pt>
                <c:pt idx="347">
                  <c:v>46</c:v>
                </c:pt>
                <c:pt idx="348">
                  <c:v>36</c:v>
                </c:pt>
                <c:pt idx="349">
                  <c:v>19</c:v>
                </c:pt>
                <c:pt idx="350">
                  <c:v>57</c:v>
                </c:pt>
                <c:pt idx="351">
                  <c:v>50</c:v>
                </c:pt>
                <c:pt idx="352">
                  <c:v>30</c:v>
                </c:pt>
                <c:pt idx="353">
                  <c:v>33</c:v>
                </c:pt>
                <c:pt idx="354">
                  <c:v>18</c:v>
                </c:pt>
                <c:pt idx="355">
                  <c:v>46</c:v>
                </c:pt>
                <c:pt idx="356">
                  <c:v>46</c:v>
                </c:pt>
                <c:pt idx="357">
                  <c:v>47</c:v>
                </c:pt>
                <c:pt idx="358">
                  <c:v>23</c:v>
                </c:pt>
                <c:pt idx="359">
                  <c:v>18</c:v>
                </c:pt>
                <c:pt idx="360">
                  <c:v>48</c:v>
                </c:pt>
                <c:pt idx="361">
                  <c:v>35</c:v>
                </c:pt>
                <c:pt idx="362">
                  <c:v>19</c:v>
                </c:pt>
                <c:pt idx="363">
                  <c:v>21</c:v>
                </c:pt>
                <c:pt idx="364">
                  <c:v>21</c:v>
                </c:pt>
                <c:pt idx="365">
                  <c:v>49</c:v>
                </c:pt>
                <c:pt idx="366">
                  <c:v>56</c:v>
                </c:pt>
                <c:pt idx="367">
                  <c:v>42</c:v>
                </c:pt>
                <c:pt idx="368">
                  <c:v>44</c:v>
                </c:pt>
                <c:pt idx="369">
                  <c:v>18</c:v>
                </c:pt>
                <c:pt idx="370">
                  <c:v>61</c:v>
                </c:pt>
                <c:pt idx="371">
                  <c:v>57</c:v>
                </c:pt>
                <c:pt idx="372">
                  <c:v>42</c:v>
                </c:pt>
                <c:pt idx="373">
                  <c:v>26</c:v>
                </c:pt>
                <c:pt idx="374">
                  <c:v>20</c:v>
                </c:pt>
                <c:pt idx="375">
                  <c:v>23</c:v>
                </c:pt>
                <c:pt idx="376">
                  <c:v>39</c:v>
                </c:pt>
                <c:pt idx="377">
                  <c:v>24</c:v>
                </c:pt>
                <c:pt idx="378">
                  <c:v>64</c:v>
                </c:pt>
                <c:pt idx="379">
                  <c:v>62</c:v>
                </c:pt>
                <c:pt idx="380">
                  <c:v>27</c:v>
                </c:pt>
                <c:pt idx="381">
                  <c:v>55</c:v>
                </c:pt>
                <c:pt idx="382">
                  <c:v>55</c:v>
                </c:pt>
                <c:pt idx="383">
                  <c:v>35</c:v>
                </c:pt>
                <c:pt idx="384">
                  <c:v>44</c:v>
                </c:pt>
                <c:pt idx="385">
                  <c:v>19</c:v>
                </c:pt>
                <c:pt idx="386">
                  <c:v>58</c:v>
                </c:pt>
                <c:pt idx="387">
                  <c:v>50</c:v>
                </c:pt>
                <c:pt idx="388">
                  <c:v>26</c:v>
                </c:pt>
                <c:pt idx="389">
                  <c:v>24</c:v>
                </c:pt>
                <c:pt idx="390">
                  <c:v>48</c:v>
                </c:pt>
                <c:pt idx="391">
                  <c:v>19</c:v>
                </c:pt>
                <c:pt idx="392">
                  <c:v>48</c:v>
                </c:pt>
                <c:pt idx="393">
                  <c:v>49</c:v>
                </c:pt>
                <c:pt idx="394">
                  <c:v>46</c:v>
                </c:pt>
                <c:pt idx="395">
                  <c:v>46</c:v>
                </c:pt>
                <c:pt idx="396">
                  <c:v>43</c:v>
                </c:pt>
                <c:pt idx="397">
                  <c:v>21</c:v>
                </c:pt>
                <c:pt idx="398">
                  <c:v>64</c:v>
                </c:pt>
                <c:pt idx="399">
                  <c:v>18</c:v>
                </c:pt>
                <c:pt idx="400">
                  <c:v>51</c:v>
                </c:pt>
                <c:pt idx="401">
                  <c:v>47</c:v>
                </c:pt>
                <c:pt idx="402">
                  <c:v>64</c:v>
                </c:pt>
                <c:pt idx="403">
                  <c:v>49</c:v>
                </c:pt>
                <c:pt idx="404">
                  <c:v>31</c:v>
                </c:pt>
                <c:pt idx="405">
                  <c:v>52</c:v>
                </c:pt>
                <c:pt idx="406">
                  <c:v>33</c:v>
                </c:pt>
                <c:pt idx="407">
                  <c:v>47</c:v>
                </c:pt>
                <c:pt idx="408">
                  <c:v>38</c:v>
                </c:pt>
                <c:pt idx="409">
                  <c:v>32</c:v>
                </c:pt>
                <c:pt idx="410">
                  <c:v>19</c:v>
                </c:pt>
                <c:pt idx="411">
                  <c:v>44</c:v>
                </c:pt>
                <c:pt idx="412">
                  <c:v>26</c:v>
                </c:pt>
                <c:pt idx="413">
                  <c:v>25</c:v>
                </c:pt>
                <c:pt idx="414">
                  <c:v>19</c:v>
                </c:pt>
                <c:pt idx="415">
                  <c:v>43</c:v>
                </c:pt>
                <c:pt idx="416">
                  <c:v>52</c:v>
                </c:pt>
                <c:pt idx="417">
                  <c:v>36</c:v>
                </c:pt>
                <c:pt idx="418">
                  <c:v>64</c:v>
                </c:pt>
                <c:pt idx="419">
                  <c:v>63</c:v>
                </c:pt>
                <c:pt idx="420">
                  <c:v>64</c:v>
                </c:pt>
                <c:pt idx="421">
                  <c:v>61</c:v>
                </c:pt>
                <c:pt idx="422">
                  <c:v>40</c:v>
                </c:pt>
                <c:pt idx="423">
                  <c:v>25</c:v>
                </c:pt>
                <c:pt idx="424">
                  <c:v>48</c:v>
                </c:pt>
                <c:pt idx="425">
                  <c:v>45</c:v>
                </c:pt>
                <c:pt idx="426">
                  <c:v>38</c:v>
                </c:pt>
                <c:pt idx="427">
                  <c:v>18</c:v>
                </c:pt>
                <c:pt idx="428">
                  <c:v>21</c:v>
                </c:pt>
                <c:pt idx="429">
                  <c:v>27</c:v>
                </c:pt>
                <c:pt idx="430">
                  <c:v>19</c:v>
                </c:pt>
                <c:pt idx="431">
                  <c:v>29</c:v>
                </c:pt>
                <c:pt idx="432">
                  <c:v>42</c:v>
                </c:pt>
                <c:pt idx="433">
                  <c:v>60</c:v>
                </c:pt>
                <c:pt idx="434">
                  <c:v>31</c:v>
                </c:pt>
                <c:pt idx="435">
                  <c:v>60</c:v>
                </c:pt>
                <c:pt idx="436">
                  <c:v>22</c:v>
                </c:pt>
                <c:pt idx="437">
                  <c:v>35</c:v>
                </c:pt>
                <c:pt idx="438">
                  <c:v>52</c:v>
                </c:pt>
                <c:pt idx="439">
                  <c:v>26</c:v>
                </c:pt>
                <c:pt idx="440">
                  <c:v>31</c:v>
                </c:pt>
                <c:pt idx="441">
                  <c:v>33</c:v>
                </c:pt>
                <c:pt idx="442">
                  <c:v>18</c:v>
                </c:pt>
                <c:pt idx="443">
                  <c:v>59</c:v>
                </c:pt>
                <c:pt idx="444">
                  <c:v>56</c:v>
                </c:pt>
                <c:pt idx="445">
                  <c:v>45</c:v>
                </c:pt>
                <c:pt idx="446">
                  <c:v>60</c:v>
                </c:pt>
                <c:pt idx="447">
                  <c:v>56</c:v>
                </c:pt>
                <c:pt idx="448">
                  <c:v>40</c:v>
                </c:pt>
                <c:pt idx="449">
                  <c:v>35</c:v>
                </c:pt>
                <c:pt idx="450">
                  <c:v>39</c:v>
                </c:pt>
                <c:pt idx="451">
                  <c:v>30</c:v>
                </c:pt>
                <c:pt idx="452">
                  <c:v>24</c:v>
                </c:pt>
                <c:pt idx="453">
                  <c:v>20</c:v>
                </c:pt>
                <c:pt idx="454">
                  <c:v>32</c:v>
                </c:pt>
                <c:pt idx="455">
                  <c:v>59</c:v>
                </c:pt>
                <c:pt idx="456">
                  <c:v>55</c:v>
                </c:pt>
                <c:pt idx="457">
                  <c:v>57</c:v>
                </c:pt>
                <c:pt idx="458">
                  <c:v>56</c:v>
                </c:pt>
                <c:pt idx="459">
                  <c:v>40</c:v>
                </c:pt>
                <c:pt idx="460">
                  <c:v>49</c:v>
                </c:pt>
                <c:pt idx="461">
                  <c:v>42</c:v>
                </c:pt>
                <c:pt idx="462">
                  <c:v>62</c:v>
                </c:pt>
                <c:pt idx="463">
                  <c:v>56</c:v>
                </c:pt>
                <c:pt idx="464">
                  <c:v>19</c:v>
                </c:pt>
                <c:pt idx="465">
                  <c:v>30</c:v>
                </c:pt>
                <c:pt idx="466">
                  <c:v>60</c:v>
                </c:pt>
                <c:pt idx="467">
                  <c:v>56</c:v>
                </c:pt>
                <c:pt idx="468">
                  <c:v>28</c:v>
                </c:pt>
                <c:pt idx="469">
                  <c:v>18</c:v>
                </c:pt>
                <c:pt idx="470">
                  <c:v>27</c:v>
                </c:pt>
                <c:pt idx="471">
                  <c:v>18</c:v>
                </c:pt>
                <c:pt idx="472">
                  <c:v>19</c:v>
                </c:pt>
                <c:pt idx="473">
                  <c:v>47</c:v>
                </c:pt>
                <c:pt idx="474">
                  <c:v>54</c:v>
                </c:pt>
                <c:pt idx="475">
                  <c:v>61</c:v>
                </c:pt>
                <c:pt idx="476">
                  <c:v>24</c:v>
                </c:pt>
                <c:pt idx="477">
                  <c:v>25</c:v>
                </c:pt>
                <c:pt idx="478">
                  <c:v>21</c:v>
                </c:pt>
                <c:pt idx="479">
                  <c:v>23</c:v>
                </c:pt>
                <c:pt idx="480">
                  <c:v>63</c:v>
                </c:pt>
                <c:pt idx="481">
                  <c:v>49</c:v>
                </c:pt>
                <c:pt idx="482">
                  <c:v>18</c:v>
                </c:pt>
                <c:pt idx="483">
                  <c:v>51</c:v>
                </c:pt>
                <c:pt idx="484">
                  <c:v>48</c:v>
                </c:pt>
                <c:pt idx="485">
                  <c:v>31</c:v>
                </c:pt>
                <c:pt idx="486">
                  <c:v>54</c:v>
                </c:pt>
                <c:pt idx="487">
                  <c:v>19</c:v>
                </c:pt>
                <c:pt idx="488">
                  <c:v>44</c:v>
                </c:pt>
                <c:pt idx="489">
                  <c:v>53</c:v>
                </c:pt>
                <c:pt idx="490">
                  <c:v>19</c:v>
                </c:pt>
                <c:pt idx="491">
                  <c:v>61</c:v>
                </c:pt>
                <c:pt idx="492">
                  <c:v>18</c:v>
                </c:pt>
                <c:pt idx="493">
                  <c:v>61</c:v>
                </c:pt>
                <c:pt idx="494">
                  <c:v>21</c:v>
                </c:pt>
                <c:pt idx="495">
                  <c:v>20</c:v>
                </c:pt>
                <c:pt idx="496">
                  <c:v>31</c:v>
                </c:pt>
                <c:pt idx="497">
                  <c:v>45</c:v>
                </c:pt>
                <c:pt idx="498">
                  <c:v>44</c:v>
                </c:pt>
                <c:pt idx="499">
                  <c:v>62</c:v>
                </c:pt>
                <c:pt idx="500">
                  <c:v>29</c:v>
                </c:pt>
                <c:pt idx="501">
                  <c:v>43</c:v>
                </c:pt>
                <c:pt idx="502">
                  <c:v>51</c:v>
                </c:pt>
                <c:pt idx="503">
                  <c:v>19</c:v>
                </c:pt>
                <c:pt idx="504">
                  <c:v>38</c:v>
                </c:pt>
                <c:pt idx="505">
                  <c:v>37</c:v>
                </c:pt>
                <c:pt idx="506">
                  <c:v>22</c:v>
                </c:pt>
                <c:pt idx="507">
                  <c:v>21</c:v>
                </c:pt>
                <c:pt idx="508">
                  <c:v>24</c:v>
                </c:pt>
                <c:pt idx="509">
                  <c:v>57</c:v>
                </c:pt>
                <c:pt idx="510">
                  <c:v>56</c:v>
                </c:pt>
                <c:pt idx="511">
                  <c:v>27</c:v>
                </c:pt>
                <c:pt idx="512">
                  <c:v>51</c:v>
                </c:pt>
                <c:pt idx="513">
                  <c:v>19</c:v>
                </c:pt>
                <c:pt idx="514">
                  <c:v>39</c:v>
                </c:pt>
                <c:pt idx="515">
                  <c:v>58</c:v>
                </c:pt>
                <c:pt idx="516">
                  <c:v>20</c:v>
                </c:pt>
                <c:pt idx="517">
                  <c:v>45</c:v>
                </c:pt>
                <c:pt idx="518">
                  <c:v>35</c:v>
                </c:pt>
                <c:pt idx="519">
                  <c:v>31</c:v>
                </c:pt>
                <c:pt idx="520">
                  <c:v>50</c:v>
                </c:pt>
                <c:pt idx="521">
                  <c:v>32</c:v>
                </c:pt>
                <c:pt idx="522">
                  <c:v>51</c:v>
                </c:pt>
                <c:pt idx="523">
                  <c:v>38</c:v>
                </c:pt>
                <c:pt idx="524">
                  <c:v>42</c:v>
                </c:pt>
                <c:pt idx="525">
                  <c:v>18</c:v>
                </c:pt>
                <c:pt idx="526">
                  <c:v>19</c:v>
                </c:pt>
                <c:pt idx="527">
                  <c:v>51</c:v>
                </c:pt>
                <c:pt idx="528">
                  <c:v>46</c:v>
                </c:pt>
                <c:pt idx="529">
                  <c:v>18</c:v>
                </c:pt>
                <c:pt idx="530">
                  <c:v>57</c:v>
                </c:pt>
                <c:pt idx="531">
                  <c:v>62</c:v>
                </c:pt>
                <c:pt idx="532">
                  <c:v>59</c:v>
                </c:pt>
                <c:pt idx="533">
                  <c:v>37</c:v>
                </c:pt>
                <c:pt idx="534">
                  <c:v>64</c:v>
                </c:pt>
                <c:pt idx="535">
                  <c:v>38</c:v>
                </c:pt>
                <c:pt idx="536">
                  <c:v>33</c:v>
                </c:pt>
                <c:pt idx="537">
                  <c:v>46</c:v>
                </c:pt>
                <c:pt idx="538">
                  <c:v>46</c:v>
                </c:pt>
                <c:pt idx="539">
                  <c:v>53</c:v>
                </c:pt>
                <c:pt idx="540">
                  <c:v>34</c:v>
                </c:pt>
                <c:pt idx="541">
                  <c:v>20</c:v>
                </c:pt>
                <c:pt idx="542">
                  <c:v>63</c:v>
                </c:pt>
                <c:pt idx="543">
                  <c:v>54</c:v>
                </c:pt>
                <c:pt idx="544">
                  <c:v>54</c:v>
                </c:pt>
                <c:pt idx="545">
                  <c:v>49</c:v>
                </c:pt>
                <c:pt idx="546">
                  <c:v>28</c:v>
                </c:pt>
                <c:pt idx="547">
                  <c:v>54</c:v>
                </c:pt>
                <c:pt idx="548">
                  <c:v>25</c:v>
                </c:pt>
                <c:pt idx="549">
                  <c:v>43</c:v>
                </c:pt>
                <c:pt idx="550">
                  <c:v>63</c:v>
                </c:pt>
                <c:pt idx="551">
                  <c:v>32</c:v>
                </c:pt>
                <c:pt idx="552">
                  <c:v>62</c:v>
                </c:pt>
                <c:pt idx="553">
                  <c:v>52</c:v>
                </c:pt>
                <c:pt idx="554">
                  <c:v>25</c:v>
                </c:pt>
                <c:pt idx="555">
                  <c:v>28</c:v>
                </c:pt>
                <c:pt idx="556">
                  <c:v>46</c:v>
                </c:pt>
                <c:pt idx="557">
                  <c:v>34</c:v>
                </c:pt>
                <c:pt idx="558">
                  <c:v>35</c:v>
                </c:pt>
                <c:pt idx="559">
                  <c:v>19</c:v>
                </c:pt>
                <c:pt idx="560">
                  <c:v>46</c:v>
                </c:pt>
                <c:pt idx="561">
                  <c:v>54</c:v>
                </c:pt>
                <c:pt idx="562">
                  <c:v>27</c:v>
                </c:pt>
                <c:pt idx="563">
                  <c:v>50</c:v>
                </c:pt>
                <c:pt idx="564">
                  <c:v>18</c:v>
                </c:pt>
                <c:pt idx="565">
                  <c:v>19</c:v>
                </c:pt>
                <c:pt idx="566">
                  <c:v>38</c:v>
                </c:pt>
                <c:pt idx="567">
                  <c:v>41</c:v>
                </c:pt>
                <c:pt idx="568">
                  <c:v>49</c:v>
                </c:pt>
                <c:pt idx="569">
                  <c:v>48</c:v>
                </c:pt>
                <c:pt idx="570">
                  <c:v>31</c:v>
                </c:pt>
                <c:pt idx="571">
                  <c:v>18</c:v>
                </c:pt>
                <c:pt idx="572">
                  <c:v>30</c:v>
                </c:pt>
                <c:pt idx="573">
                  <c:v>62</c:v>
                </c:pt>
                <c:pt idx="574">
                  <c:v>57</c:v>
                </c:pt>
                <c:pt idx="575">
                  <c:v>58</c:v>
                </c:pt>
                <c:pt idx="576">
                  <c:v>22</c:v>
                </c:pt>
                <c:pt idx="577">
                  <c:v>31</c:v>
                </c:pt>
                <c:pt idx="578">
                  <c:v>52</c:v>
                </c:pt>
                <c:pt idx="579">
                  <c:v>25</c:v>
                </c:pt>
                <c:pt idx="580">
                  <c:v>59</c:v>
                </c:pt>
                <c:pt idx="581">
                  <c:v>19</c:v>
                </c:pt>
                <c:pt idx="582">
                  <c:v>39</c:v>
                </c:pt>
                <c:pt idx="583">
                  <c:v>32</c:v>
                </c:pt>
                <c:pt idx="584">
                  <c:v>19</c:v>
                </c:pt>
                <c:pt idx="585">
                  <c:v>33</c:v>
                </c:pt>
                <c:pt idx="586">
                  <c:v>21</c:v>
                </c:pt>
                <c:pt idx="587">
                  <c:v>34</c:v>
                </c:pt>
                <c:pt idx="588">
                  <c:v>61</c:v>
                </c:pt>
                <c:pt idx="589">
                  <c:v>38</c:v>
                </c:pt>
                <c:pt idx="590">
                  <c:v>58</c:v>
                </c:pt>
                <c:pt idx="591">
                  <c:v>47</c:v>
                </c:pt>
                <c:pt idx="592">
                  <c:v>20</c:v>
                </c:pt>
                <c:pt idx="593">
                  <c:v>21</c:v>
                </c:pt>
                <c:pt idx="594">
                  <c:v>41</c:v>
                </c:pt>
                <c:pt idx="595">
                  <c:v>46</c:v>
                </c:pt>
                <c:pt idx="596">
                  <c:v>42</c:v>
                </c:pt>
                <c:pt idx="597">
                  <c:v>34</c:v>
                </c:pt>
                <c:pt idx="598">
                  <c:v>43</c:v>
                </c:pt>
                <c:pt idx="599">
                  <c:v>52</c:v>
                </c:pt>
                <c:pt idx="600">
                  <c:v>18</c:v>
                </c:pt>
                <c:pt idx="601">
                  <c:v>51</c:v>
                </c:pt>
                <c:pt idx="602">
                  <c:v>56</c:v>
                </c:pt>
                <c:pt idx="603">
                  <c:v>64</c:v>
                </c:pt>
                <c:pt idx="604">
                  <c:v>19</c:v>
                </c:pt>
                <c:pt idx="605">
                  <c:v>51</c:v>
                </c:pt>
                <c:pt idx="606">
                  <c:v>27</c:v>
                </c:pt>
                <c:pt idx="607">
                  <c:v>59</c:v>
                </c:pt>
                <c:pt idx="608">
                  <c:v>28</c:v>
                </c:pt>
                <c:pt idx="609">
                  <c:v>30</c:v>
                </c:pt>
                <c:pt idx="610">
                  <c:v>47</c:v>
                </c:pt>
                <c:pt idx="611">
                  <c:v>38</c:v>
                </c:pt>
                <c:pt idx="612">
                  <c:v>18</c:v>
                </c:pt>
                <c:pt idx="613">
                  <c:v>34</c:v>
                </c:pt>
                <c:pt idx="614">
                  <c:v>20</c:v>
                </c:pt>
                <c:pt idx="615">
                  <c:v>47</c:v>
                </c:pt>
                <c:pt idx="616">
                  <c:v>56</c:v>
                </c:pt>
                <c:pt idx="617">
                  <c:v>49</c:v>
                </c:pt>
                <c:pt idx="618">
                  <c:v>19</c:v>
                </c:pt>
                <c:pt idx="619">
                  <c:v>55</c:v>
                </c:pt>
                <c:pt idx="620">
                  <c:v>30</c:v>
                </c:pt>
                <c:pt idx="621">
                  <c:v>37</c:v>
                </c:pt>
                <c:pt idx="622">
                  <c:v>49</c:v>
                </c:pt>
                <c:pt idx="623">
                  <c:v>18</c:v>
                </c:pt>
                <c:pt idx="624">
                  <c:v>59</c:v>
                </c:pt>
                <c:pt idx="625">
                  <c:v>29</c:v>
                </c:pt>
                <c:pt idx="626">
                  <c:v>36</c:v>
                </c:pt>
                <c:pt idx="627">
                  <c:v>33</c:v>
                </c:pt>
                <c:pt idx="628">
                  <c:v>58</c:v>
                </c:pt>
                <c:pt idx="629">
                  <c:v>44</c:v>
                </c:pt>
                <c:pt idx="630">
                  <c:v>53</c:v>
                </c:pt>
                <c:pt idx="631">
                  <c:v>24</c:v>
                </c:pt>
                <c:pt idx="632">
                  <c:v>29</c:v>
                </c:pt>
                <c:pt idx="633">
                  <c:v>40</c:v>
                </c:pt>
                <c:pt idx="634">
                  <c:v>51</c:v>
                </c:pt>
                <c:pt idx="635">
                  <c:v>64</c:v>
                </c:pt>
                <c:pt idx="636">
                  <c:v>19</c:v>
                </c:pt>
                <c:pt idx="637">
                  <c:v>35</c:v>
                </c:pt>
                <c:pt idx="638">
                  <c:v>39</c:v>
                </c:pt>
                <c:pt idx="639">
                  <c:v>56</c:v>
                </c:pt>
                <c:pt idx="640">
                  <c:v>33</c:v>
                </c:pt>
                <c:pt idx="641">
                  <c:v>42</c:v>
                </c:pt>
                <c:pt idx="642">
                  <c:v>61</c:v>
                </c:pt>
                <c:pt idx="643">
                  <c:v>23</c:v>
                </c:pt>
                <c:pt idx="644">
                  <c:v>43</c:v>
                </c:pt>
                <c:pt idx="645">
                  <c:v>48</c:v>
                </c:pt>
                <c:pt idx="646">
                  <c:v>39</c:v>
                </c:pt>
                <c:pt idx="647">
                  <c:v>40</c:v>
                </c:pt>
                <c:pt idx="648">
                  <c:v>18</c:v>
                </c:pt>
                <c:pt idx="649">
                  <c:v>58</c:v>
                </c:pt>
                <c:pt idx="650">
                  <c:v>49</c:v>
                </c:pt>
                <c:pt idx="651">
                  <c:v>53</c:v>
                </c:pt>
                <c:pt idx="652">
                  <c:v>48</c:v>
                </c:pt>
                <c:pt idx="653">
                  <c:v>45</c:v>
                </c:pt>
                <c:pt idx="654">
                  <c:v>59</c:v>
                </c:pt>
                <c:pt idx="655">
                  <c:v>52</c:v>
                </c:pt>
                <c:pt idx="656">
                  <c:v>26</c:v>
                </c:pt>
                <c:pt idx="657">
                  <c:v>27</c:v>
                </c:pt>
                <c:pt idx="658">
                  <c:v>48</c:v>
                </c:pt>
                <c:pt idx="659">
                  <c:v>57</c:v>
                </c:pt>
                <c:pt idx="660">
                  <c:v>37</c:v>
                </c:pt>
                <c:pt idx="661">
                  <c:v>57</c:v>
                </c:pt>
                <c:pt idx="662">
                  <c:v>32</c:v>
                </c:pt>
                <c:pt idx="663">
                  <c:v>18</c:v>
                </c:pt>
                <c:pt idx="664">
                  <c:v>64</c:v>
                </c:pt>
                <c:pt idx="665">
                  <c:v>43</c:v>
                </c:pt>
                <c:pt idx="666">
                  <c:v>49</c:v>
                </c:pt>
                <c:pt idx="667">
                  <c:v>40</c:v>
                </c:pt>
                <c:pt idx="668">
                  <c:v>62</c:v>
                </c:pt>
                <c:pt idx="669">
                  <c:v>40</c:v>
                </c:pt>
                <c:pt idx="670">
                  <c:v>30</c:v>
                </c:pt>
                <c:pt idx="671">
                  <c:v>29</c:v>
                </c:pt>
                <c:pt idx="672">
                  <c:v>36</c:v>
                </c:pt>
                <c:pt idx="673">
                  <c:v>41</c:v>
                </c:pt>
                <c:pt idx="674">
                  <c:v>44</c:v>
                </c:pt>
                <c:pt idx="675">
                  <c:v>45</c:v>
                </c:pt>
                <c:pt idx="676">
                  <c:v>55</c:v>
                </c:pt>
                <c:pt idx="677">
                  <c:v>60</c:v>
                </c:pt>
                <c:pt idx="678">
                  <c:v>56</c:v>
                </c:pt>
                <c:pt idx="679">
                  <c:v>49</c:v>
                </c:pt>
                <c:pt idx="680">
                  <c:v>21</c:v>
                </c:pt>
                <c:pt idx="681">
                  <c:v>19</c:v>
                </c:pt>
                <c:pt idx="682">
                  <c:v>39</c:v>
                </c:pt>
                <c:pt idx="683">
                  <c:v>53</c:v>
                </c:pt>
                <c:pt idx="684">
                  <c:v>33</c:v>
                </c:pt>
                <c:pt idx="685">
                  <c:v>53</c:v>
                </c:pt>
                <c:pt idx="686">
                  <c:v>42</c:v>
                </c:pt>
                <c:pt idx="687">
                  <c:v>40</c:v>
                </c:pt>
                <c:pt idx="688">
                  <c:v>47</c:v>
                </c:pt>
                <c:pt idx="689">
                  <c:v>27</c:v>
                </c:pt>
                <c:pt idx="690">
                  <c:v>21</c:v>
                </c:pt>
                <c:pt idx="691">
                  <c:v>47</c:v>
                </c:pt>
                <c:pt idx="692">
                  <c:v>20</c:v>
                </c:pt>
                <c:pt idx="693">
                  <c:v>24</c:v>
                </c:pt>
                <c:pt idx="694">
                  <c:v>27</c:v>
                </c:pt>
                <c:pt idx="695">
                  <c:v>26</c:v>
                </c:pt>
                <c:pt idx="696">
                  <c:v>53</c:v>
                </c:pt>
                <c:pt idx="697">
                  <c:v>41</c:v>
                </c:pt>
                <c:pt idx="698">
                  <c:v>56</c:v>
                </c:pt>
                <c:pt idx="699">
                  <c:v>23</c:v>
                </c:pt>
                <c:pt idx="700">
                  <c:v>21</c:v>
                </c:pt>
                <c:pt idx="701">
                  <c:v>50</c:v>
                </c:pt>
                <c:pt idx="702">
                  <c:v>53</c:v>
                </c:pt>
                <c:pt idx="703">
                  <c:v>34</c:v>
                </c:pt>
                <c:pt idx="704">
                  <c:v>47</c:v>
                </c:pt>
                <c:pt idx="705">
                  <c:v>33</c:v>
                </c:pt>
                <c:pt idx="706">
                  <c:v>51</c:v>
                </c:pt>
                <c:pt idx="707">
                  <c:v>49</c:v>
                </c:pt>
                <c:pt idx="708">
                  <c:v>31</c:v>
                </c:pt>
                <c:pt idx="709">
                  <c:v>36</c:v>
                </c:pt>
                <c:pt idx="710">
                  <c:v>18</c:v>
                </c:pt>
                <c:pt idx="711">
                  <c:v>50</c:v>
                </c:pt>
                <c:pt idx="712">
                  <c:v>43</c:v>
                </c:pt>
                <c:pt idx="713">
                  <c:v>20</c:v>
                </c:pt>
                <c:pt idx="714">
                  <c:v>24</c:v>
                </c:pt>
                <c:pt idx="715">
                  <c:v>60</c:v>
                </c:pt>
                <c:pt idx="716">
                  <c:v>49</c:v>
                </c:pt>
                <c:pt idx="717">
                  <c:v>60</c:v>
                </c:pt>
                <c:pt idx="718">
                  <c:v>51</c:v>
                </c:pt>
                <c:pt idx="719">
                  <c:v>58</c:v>
                </c:pt>
                <c:pt idx="720">
                  <c:v>51</c:v>
                </c:pt>
                <c:pt idx="721">
                  <c:v>53</c:v>
                </c:pt>
                <c:pt idx="722">
                  <c:v>62</c:v>
                </c:pt>
                <c:pt idx="723">
                  <c:v>19</c:v>
                </c:pt>
                <c:pt idx="724">
                  <c:v>50</c:v>
                </c:pt>
                <c:pt idx="725">
                  <c:v>30</c:v>
                </c:pt>
                <c:pt idx="726">
                  <c:v>41</c:v>
                </c:pt>
                <c:pt idx="727">
                  <c:v>29</c:v>
                </c:pt>
                <c:pt idx="728">
                  <c:v>18</c:v>
                </c:pt>
                <c:pt idx="729">
                  <c:v>41</c:v>
                </c:pt>
                <c:pt idx="730">
                  <c:v>35</c:v>
                </c:pt>
                <c:pt idx="731">
                  <c:v>53</c:v>
                </c:pt>
                <c:pt idx="732">
                  <c:v>24</c:v>
                </c:pt>
                <c:pt idx="733">
                  <c:v>48</c:v>
                </c:pt>
                <c:pt idx="734">
                  <c:v>59</c:v>
                </c:pt>
                <c:pt idx="735">
                  <c:v>49</c:v>
                </c:pt>
                <c:pt idx="736">
                  <c:v>37</c:v>
                </c:pt>
                <c:pt idx="737">
                  <c:v>26</c:v>
                </c:pt>
                <c:pt idx="738">
                  <c:v>23</c:v>
                </c:pt>
                <c:pt idx="739">
                  <c:v>29</c:v>
                </c:pt>
                <c:pt idx="740">
                  <c:v>45</c:v>
                </c:pt>
                <c:pt idx="741">
                  <c:v>27</c:v>
                </c:pt>
                <c:pt idx="742">
                  <c:v>53</c:v>
                </c:pt>
                <c:pt idx="743">
                  <c:v>31</c:v>
                </c:pt>
                <c:pt idx="744">
                  <c:v>50</c:v>
                </c:pt>
                <c:pt idx="745">
                  <c:v>50</c:v>
                </c:pt>
                <c:pt idx="746">
                  <c:v>34</c:v>
                </c:pt>
                <c:pt idx="747">
                  <c:v>19</c:v>
                </c:pt>
                <c:pt idx="748">
                  <c:v>47</c:v>
                </c:pt>
                <c:pt idx="749">
                  <c:v>28</c:v>
                </c:pt>
                <c:pt idx="750">
                  <c:v>37</c:v>
                </c:pt>
                <c:pt idx="751">
                  <c:v>21</c:v>
                </c:pt>
                <c:pt idx="752">
                  <c:v>64</c:v>
                </c:pt>
                <c:pt idx="753">
                  <c:v>58</c:v>
                </c:pt>
                <c:pt idx="754">
                  <c:v>24</c:v>
                </c:pt>
                <c:pt idx="755">
                  <c:v>31</c:v>
                </c:pt>
                <c:pt idx="756">
                  <c:v>39</c:v>
                </c:pt>
                <c:pt idx="757">
                  <c:v>47</c:v>
                </c:pt>
                <c:pt idx="758">
                  <c:v>30</c:v>
                </c:pt>
                <c:pt idx="759">
                  <c:v>18</c:v>
                </c:pt>
                <c:pt idx="760">
                  <c:v>22</c:v>
                </c:pt>
                <c:pt idx="761">
                  <c:v>23</c:v>
                </c:pt>
                <c:pt idx="762">
                  <c:v>33</c:v>
                </c:pt>
                <c:pt idx="763">
                  <c:v>27</c:v>
                </c:pt>
                <c:pt idx="764">
                  <c:v>45</c:v>
                </c:pt>
                <c:pt idx="765">
                  <c:v>57</c:v>
                </c:pt>
                <c:pt idx="766">
                  <c:v>47</c:v>
                </c:pt>
                <c:pt idx="767">
                  <c:v>42</c:v>
                </c:pt>
                <c:pt idx="768">
                  <c:v>64</c:v>
                </c:pt>
                <c:pt idx="769">
                  <c:v>38</c:v>
                </c:pt>
                <c:pt idx="770">
                  <c:v>61</c:v>
                </c:pt>
                <c:pt idx="771">
                  <c:v>53</c:v>
                </c:pt>
                <c:pt idx="772">
                  <c:v>44</c:v>
                </c:pt>
                <c:pt idx="773">
                  <c:v>19</c:v>
                </c:pt>
                <c:pt idx="774">
                  <c:v>41</c:v>
                </c:pt>
                <c:pt idx="775">
                  <c:v>51</c:v>
                </c:pt>
                <c:pt idx="776">
                  <c:v>40</c:v>
                </c:pt>
                <c:pt idx="777">
                  <c:v>45</c:v>
                </c:pt>
                <c:pt idx="778">
                  <c:v>35</c:v>
                </c:pt>
                <c:pt idx="779">
                  <c:v>53</c:v>
                </c:pt>
                <c:pt idx="780">
                  <c:v>30</c:v>
                </c:pt>
                <c:pt idx="781">
                  <c:v>18</c:v>
                </c:pt>
                <c:pt idx="782">
                  <c:v>51</c:v>
                </c:pt>
                <c:pt idx="783">
                  <c:v>50</c:v>
                </c:pt>
                <c:pt idx="784">
                  <c:v>31</c:v>
                </c:pt>
                <c:pt idx="785">
                  <c:v>35</c:v>
                </c:pt>
                <c:pt idx="786">
                  <c:v>60</c:v>
                </c:pt>
                <c:pt idx="787">
                  <c:v>21</c:v>
                </c:pt>
                <c:pt idx="788">
                  <c:v>29</c:v>
                </c:pt>
                <c:pt idx="789">
                  <c:v>62</c:v>
                </c:pt>
                <c:pt idx="790">
                  <c:v>39</c:v>
                </c:pt>
                <c:pt idx="791">
                  <c:v>19</c:v>
                </c:pt>
                <c:pt idx="792">
                  <c:v>22</c:v>
                </c:pt>
                <c:pt idx="793">
                  <c:v>53</c:v>
                </c:pt>
                <c:pt idx="794">
                  <c:v>39</c:v>
                </c:pt>
                <c:pt idx="795">
                  <c:v>27</c:v>
                </c:pt>
                <c:pt idx="796">
                  <c:v>30</c:v>
                </c:pt>
                <c:pt idx="797">
                  <c:v>30</c:v>
                </c:pt>
                <c:pt idx="798">
                  <c:v>58</c:v>
                </c:pt>
                <c:pt idx="799">
                  <c:v>33</c:v>
                </c:pt>
                <c:pt idx="800">
                  <c:v>42</c:v>
                </c:pt>
                <c:pt idx="801">
                  <c:v>64</c:v>
                </c:pt>
                <c:pt idx="802">
                  <c:v>21</c:v>
                </c:pt>
                <c:pt idx="803">
                  <c:v>18</c:v>
                </c:pt>
                <c:pt idx="804">
                  <c:v>23</c:v>
                </c:pt>
                <c:pt idx="805">
                  <c:v>45</c:v>
                </c:pt>
                <c:pt idx="806">
                  <c:v>40</c:v>
                </c:pt>
                <c:pt idx="807">
                  <c:v>19</c:v>
                </c:pt>
                <c:pt idx="808">
                  <c:v>18</c:v>
                </c:pt>
                <c:pt idx="809">
                  <c:v>25</c:v>
                </c:pt>
                <c:pt idx="810">
                  <c:v>46</c:v>
                </c:pt>
                <c:pt idx="811">
                  <c:v>33</c:v>
                </c:pt>
                <c:pt idx="812">
                  <c:v>54</c:v>
                </c:pt>
                <c:pt idx="813">
                  <c:v>28</c:v>
                </c:pt>
                <c:pt idx="814">
                  <c:v>36</c:v>
                </c:pt>
                <c:pt idx="815">
                  <c:v>20</c:v>
                </c:pt>
                <c:pt idx="816">
                  <c:v>24</c:v>
                </c:pt>
                <c:pt idx="817">
                  <c:v>23</c:v>
                </c:pt>
                <c:pt idx="818">
                  <c:v>47</c:v>
                </c:pt>
                <c:pt idx="819">
                  <c:v>33</c:v>
                </c:pt>
                <c:pt idx="820">
                  <c:v>45</c:v>
                </c:pt>
                <c:pt idx="821">
                  <c:v>26</c:v>
                </c:pt>
                <c:pt idx="822">
                  <c:v>18</c:v>
                </c:pt>
                <c:pt idx="823">
                  <c:v>44</c:v>
                </c:pt>
                <c:pt idx="824">
                  <c:v>60</c:v>
                </c:pt>
                <c:pt idx="825">
                  <c:v>64</c:v>
                </c:pt>
                <c:pt idx="826">
                  <c:v>56</c:v>
                </c:pt>
                <c:pt idx="827">
                  <c:v>36</c:v>
                </c:pt>
                <c:pt idx="828">
                  <c:v>41</c:v>
                </c:pt>
                <c:pt idx="829">
                  <c:v>39</c:v>
                </c:pt>
                <c:pt idx="830">
                  <c:v>63</c:v>
                </c:pt>
                <c:pt idx="831">
                  <c:v>36</c:v>
                </c:pt>
                <c:pt idx="832">
                  <c:v>28</c:v>
                </c:pt>
                <c:pt idx="833">
                  <c:v>58</c:v>
                </c:pt>
                <c:pt idx="834">
                  <c:v>36</c:v>
                </c:pt>
                <c:pt idx="835">
                  <c:v>42</c:v>
                </c:pt>
                <c:pt idx="836">
                  <c:v>36</c:v>
                </c:pt>
                <c:pt idx="837">
                  <c:v>56</c:v>
                </c:pt>
                <c:pt idx="838">
                  <c:v>35</c:v>
                </c:pt>
                <c:pt idx="839">
                  <c:v>59</c:v>
                </c:pt>
                <c:pt idx="840">
                  <c:v>21</c:v>
                </c:pt>
                <c:pt idx="841">
                  <c:v>59</c:v>
                </c:pt>
                <c:pt idx="842">
                  <c:v>23</c:v>
                </c:pt>
                <c:pt idx="843">
                  <c:v>57</c:v>
                </c:pt>
                <c:pt idx="844">
                  <c:v>53</c:v>
                </c:pt>
                <c:pt idx="845">
                  <c:v>60</c:v>
                </c:pt>
                <c:pt idx="846">
                  <c:v>51</c:v>
                </c:pt>
                <c:pt idx="847">
                  <c:v>23</c:v>
                </c:pt>
                <c:pt idx="848">
                  <c:v>27</c:v>
                </c:pt>
                <c:pt idx="849">
                  <c:v>55</c:v>
                </c:pt>
                <c:pt idx="850">
                  <c:v>37</c:v>
                </c:pt>
                <c:pt idx="851">
                  <c:v>61</c:v>
                </c:pt>
                <c:pt idx="852">
                  <c:v>46</c:v>
                </c:pt>
                <c:pt idx="853">
                  <c:v>53</c:v>
                </c:pt>
                <c:pt idx="854">
                  <c:v>49</c:v>
                </c:pt>
                <c:pt idx="855">
                  <c:v>20</c:v>
                </c:pt>
                <c:pt idx="856">
                  <c:v>48</c:v>
                </c:pt>
                <c:pt idx="857">
                  <c:v>25</c:v>
                </c:pt>
                <c:pt idx="858">
                  <c:v>25</c:v>
                </c:pt>
                <c:pt idx="859">
                  <c:v>57</c:v>
                </c:pt>
                <c:pt idx="860">
                  <c:v>37</c:v>
                </c:pt>
                <c:pt idx="861">
                  <c:v>38</c:v>
                </c:pt>
                <c:pt idx="862">
                  <c:v>55</c:v>
                </c:pt>
                <c:pt idx="863">
                  <c:v>36</c:v>
                </c:pt>
                <c:pt idx="864">
                  <c:v>51</c:v>
                </c:pt>
                <c:pt idx="865">
                  <c:v>40</c:v>
                </c:pt>
                <c:pt idx="866">
                  <c:v>18</c:v>
                </c:pt>
                <c:pt idx="867">
                  <c:v>57</c:v>
                </c:pt>
                <c:pt idx="868">
                  <c:v>61</c:v>
                </c:pt>
                <c:pt idx="869">
                  <c:v>25</c:v>
                </c:pt>
                <c:pt idx="870">
                  <c:v>50</c:v>
                </c:pt>
                <c:pt idx="871">
                  <c:v>26</c:v>
                </c:pt>
                <c:pt idx="872">
                  <c:v>42</c:v>
                </c:pt>
                <c:pt idx="873">
                  <c:v>43</c:v>
                </c:pt>
                <c:pt idx="874">
                  <c:v>44</c:v>
                </c:pt>
                <c:pt idx="875">
                  <c:v>23</c:v>
                </c:pt>
                <c:pt idx="876">
                  <c:v>49</c:v>
                </c:pt>
                <c:pt idx="877">
                  <c:v>33</c:v>
                </c:pt>
                <c:pt idx="878">
                  <c:v>41</c:v>
                </c:pt>
                <c:pt idx="879">
                  <c:v>37</c:v>
                </c:pt>
                <c:pt idx="880">
                  <c:v>22</c:v>
                </c:pt>
                <c:pt idx="881">
                  <c:v>23</c:v>
                </c:pt>
                <c:pt idx="882">
                  <c:v>21</c:v>
                </c:pt>
                <c:pt idx="883">
                  <c:v>51</c:v>
                </c:pt>
                <c:pt idx="884">
                  <c:v>25</c:v>
                </c:pt>
                <c:pt idx="885">
                  <c:v>32</c:v>
                </c:pt>
                <c:pt idx="886">
                  <c:v>57</c:v>
                </c:pt>
                <c:pt idx="887">
                  <c:v>36</c:v>
                </c:pt>
                <c:pt idx="888">
                  <c:v>22</c:v>
                </c:pt>
                <c:pt idx="889">
                  <c:v>57</c:v>
                </c:pt>
                <c:pt idx="890">
                  <c:v>64</c:v>
                </c:pt>
                <c:pt idx="891">
                  <c:v>36</c:v>
                </c:pt>
                <c:pt idx="892">
                  <c:v>54</c:v>
                </c:pt>
                <c:pt idx="893">
                  <c:v>47</c:v>
                </c:pt>
                <c:pt idx="894">
                  <c:v>62</c:v>
                </c:pt>
                <c:pt idx="895">
                  <c:v>61</c:v>
                </c:pt>
                <c:pt idx="896">
                  <c:v>43</c:v>
                </c:pt>
                <c:pt idx="897">
                  <c:v>19</c:v>
                </c:pt>
                <c:pt idx="898">
                  <c:v>18</c:v>
                </c:pt>
                <c:pt idx="899">
                  <c:v>19</c:v>
                </c:pt>
                <c:pt idx="900">
                  <c:v>49</c:v>
                </c:pt>
                <c:pt idx="901">
                  <c:v>60</c:v>
                </c:pt>
                <c:pt idx="902">
                  <c:v>26</c:v>
                </c:pt>
                <c:pt idx="903">
                  <c:v>49</c:v>
                </c:pt>
                <c:pt idx="904">
                  <c:v>60</c:v>
                </c:pt>
                <c:pt idx="905">
                  <c:v>26</c:v>
                </c:pt>
                <c:pt idx="906">
                  <c:v>27</c:v>
                </c:pt>
                <c:pt idx="907">
                  <c:v>44</c:v>
                </c:pt>
                <c:pt idx="908">
                  <c:v>63</c:v>
                </c:pt>
                <c:pt idx="909">
                  <c:v>32</c:v>
                </c:pt>
                <c:pt idx="910">
                  <c:v>22</c:v>
                </c:pt>
                <c:pt idx="911">
                  <c:v>18</c:v>
                </c:pt>
                <c:pt idx="912">
                  <c:v>59</c:v>
                </c:pt>
                <c:pt idx="913">
                  <c:v>44</c:v>
                </c:pt>
                <c:pt idx="914">
                  <c:v>33</c:v>
                </c:pt>
                <c:pt idx="915">
                  <c:v>24</c:v>
                </c:pt>
                <c:pt idx="916">
                  <c:v>43</c:v>
                </c:pt>
                <c:pt idx="917">
                  <c:v>45</c:v>
                </c:pt>
                <c:pt idx="918">
                  <c:v>61</c:v>
                </c:pt>
                <c:pt idx="919">
                  <c:v>35</c:v>
                </c:pt>
                <c:pt idx="920">
                  <c:v>62</c:v>
                </c:pt>
                <c:pt idx="921">
                  <c:v>62</c:v>
                </c:pt>
                <c:pt idx="922">
                  <c:v>38</c:v>
                </c:pt>
                <c:pt idx="923">
                  <c:v>34</c:v>
                </c:pt>
                <c:pt idx="924">
                  <c:v>43</c:v>
                </c:pt>
                <c:pt idx="925">
                  <c:v>50</c:v>
                </c:pt>
                <c:pt idx="926">
                  <c:v>19</c:v>
                </c:pt>
                <c:pt idx="927">
                  <c:v>57</c:v>
                </c:pt>
                <c:pt idx="928">
                  <c:v>62</c:v>
                </c:pt>
                <c:pt idx="929">
                  <c:v>41</c:v>
                </c:pt>
                <c:pt idx="930">
                  <c:v>26</c:v>
                </c:pt>
                <c:pt idx="931">
                  <c:v>39</c:v>
                </c:pt>
                <c:pt idx="932">
                  <c:v>46</c:v>
                </c:pt>
                <c:pt idx="933">
                  <c:v>45</c:v>
                </c:pt>
                <c:pt idx="934">
                  <c:v>32</c:v>
                </c:pt>
                <c:pt idx="935">
                  <c:v>59</c:v>
                </c:pt>
                <c:pt idx="936">
                  <c:v>44</c:v>
                </c:pt>
                <c:pt idx="937">
                  <c:v>39</c:v>
                </c:pt>
                <c:pt idx="938">
                  <c:v>18</c:v>
                </c:pt>
                <c:pt idx="939">
                  <c:v>53</c:v>
                </c:pt>
                <c:pt idx="940">
                  <c:v>18</c:v>
                </c:pt>
                <c:pt idx="941">
                  <c:v>50</c:v>
                </c:pt>
                <c:pt idx="942">
                  <c:v>18</c:v>
                </c:pt>
                <c:pt idx="943">
                  <c:v>19</c:v>
                </c:pt>
                <c:pt idx="944">
                  <c:v>62</c:v>
                </c:pt>
                <c:pt idx="945">
                  <c:v>56</c:v>
                </c:pt>
                <c:pt idx="946">
                  <c:v>42</c:v>
                </c:pt>
                <c:pt idx="947">
                  <c:v>37</c:v>
                </c:pt>
                <c:pt idx="948">
                  <c:v>42</c:v>
                </c:pt>
                <c:pt idx="949">
                  <c:v>25</c:v>
                </c:pt>
                <c:pt idx="950">
                  <c:v>57</c:v>
                </c:pt>
                <c:pt idx="951">
                  <c:v>51</c:v>
                </c:pt>
                <c:pt idx="952">
                  <c:v>30</c:v>
                </c:pt>
                <c:pt idx="953">
                  <c:v>44</c:v>
                </c:pt>
                <c:pt idx="954">
                  <c:v>34</c:v>
                </c:pt>
                <c:pt idx="955">
                  <c:v>31</c:v>
                </c:pt>
                <c:pt idx="956">
                  <c:v>54</c:v>
                </c:pt>
                <c:pt idx="957">
                  <c:v>24</c:v>
                </c:pt>
                <c:pt idx="958">
                  <c:v>43</c:v>
                </c:pt>
                <c:pt idx="959">
                  <c:v>48</c:v>
                </c:pt>
                <c:pt idx="960">
                  <c:v>19</c:v>
                </c:pt>
                <c:pt idx="961">
                  <c:v>29</c:v>
                </c:pt>
                <c:pt idx="962">
                  <c:v>63</c:v>
                </c:pt>
                <c:pt idx="963">
                  <c:v>46</c:v>
                </c:pt>
                <c:pt idx="964">
                  <c:v>52</c:v>
                </c:pt>
                <c:pt idx="965">
                  <c:v>35</c:v>
                </c:pt>
                <c:pt idx="966">
                  <c:v>51</c:v>
                </c:pt>
                <c:pt idx="967">
                  <c:v>44</c:v>
                </c:pt>
                <c:pt idx="968">
                  <c:v>21</c:v>
                </c:pt>
                <c:pt idx="969">
                  <c:v>39</c:v>
                </c:pt>
                <c:pt idx="970">
                  <c:v>50</c:v>
                </c:pt>
                <c:pt idx="971">
                  <c:v>34</c:v>
                </c:pt>
                <c:pt idx="972">
                  <c:v>22</c:v>
                </c:pt>
                <c:pt idx="973">
                  <c:v>19</c:v>
                </c:pt>
                <c:pt idx="974">
                  <c:v>26</c:v>
                </c:pt>
                <c:pt idx="975">
                  <c:v>29</c:v>
                </c:pt>
                <c:pt idx="976">
                  <c:v>48</c:v>
                </c:pt>
                <c:pt idx="977">
                  <c:v>26</c:v>
                </c:pt>
                <c:pt idx="978">
                  <c:v>45</c:v>
                </c:pt>
                <c:pt idx="979">
                  <c:v>36</c:v>
                </c:pt>
                <c:pt idx="980">
                  <c:v>54</c:v>
                </c:pt>
                <c:pt idx="981">
                  <c:v>34</c:v>
                </c:pt>
                <c:pt idx="982">
                  <c:v>31</c:v>
                </c:pt>
                <c:pt idx="983">
                  <c:v>27</c:v>
                </c:pt>
                <c:pt idx="984">
                  <c:v>20</c:v>
                </c:pt>
                <c:pt idx="985">
                  <c:v>44</c:v>
                </c:pt>
                <c:pt idx="986">
                  <c:v>43</c:v>
                </c:pt>
                <c:pt idx="987">
                  <c:v>45</c:v>
                </c:pt>
                <c:pt idx="988">
                  <c:v>34</c:v>
                </c:pt>
                <c:pt idx="989">
                  <c:v>24</c:v>
                </c:pt>
                <c:pt idx="990">
                  <c:v>26</c:v>
                </c:pt>
                <c:pt idx="991">
                  <c:v>38</c:v>
                </c:pt>
                <c:pt idx="992">
                  <c:v>50</c:v>
                </c:pt>
                <c:pt idx="993">
                  <c:v>38</c:v>
                </c:pt>
                <c:pt idx="994">
                  <c:v>27</c:v>
                </c:pt>
                <c:pt idx="995">
                  <c:v>39</c:v>
                </c:pt>
                <c:pt idx="996">
                  <c:v>39</c:v>
                </c:pt>
                <c:pt idx="997">
                  <c:v>63</c:v>
                </c:pt>
                <c:pt idx="998">
                  <c:v>33</c:v>
                </c:pt>
                <c:pt idx="999">
                  <c:v>36</c:v>
                </c:pt>
                <c:pt idx="1000">
                  <c:v>30</c:v>
                </c:pt>
                <c:pt idx="1001">
                  <c:v>24</c:v>
                </c:pt>
                <c:pt idx="1002">
                  <c:v>24</c:v>
                </c:pt>
                <c:pt idx="1003">
                  <c:v>48</c:v>
                </c:pt>
                <c:pt idx="1004">
                  <c:v>47</c:v>
                </c:pt>
                <c:pt idx="1005">
                  <c:v>29</c:v>
                </c:pt>
                <c:pt idx="1006">
                  <c:v>28</c:v>
                </c:pt>
                <c:pt idx="1007">
                  <c:v>47</c:v>
                </c:pt>
                <c:pt idx="1008">
                  <c:v>25</c:v>
                </c:pt>
                <c:pt idx="1009">
                  <c:v>51</c:v>
                </c:pt>
                <c:pt idx="1010">
                  <c:v>48</c:v>
                </c:pt>
                <c:pt idx="1011">
                  <c:v>43</c:v>
                </c:pt>
                <c:pt idx="1012">
                  <c:v>61</c:v>
                </c:pt>
                <c:pt idx="1013">
                  <c:v>48</c:v>
                </c:pt>
                <c:pt idx="1014">
                  <c:v>38</c:v>
                </c:pt>
                <c:pt idx="1015">
                  <c:v>59</c:v>
                </c:pt>
                <c:pt idx="1016">
                  <c:v>19</c:v>
                </c:pt>
                <c:pt idx="1017">
                  <c:v>26</c:v>
                </c:pt>
                <c:pt idx="1018">
                  <c:v>54</c:v>
                </c:pt>
                <c:pt idx="1019">
                  <c:v>21</c:v>
                </c:pt>
                <c:pt idx="1020">
                  <c:v>51</c:v>
                </c:pt>
                <c:pt idx="1021">
                  <c:v>22</c:v>
                </c:pt>
                <c:pt idx="1022">
                  <c:v>47</c:v>
                </c:pt>
                <c:pt idx="1023">
                  <c:v>18</c:v>
                </c:pt>
                <c:pt idx="1024">
                  <c:v>47</c:v>
                </c:pt>
                <c:pt idx="1025">
                  <c:v>21</c:v>
                </c:pt>
                <c:pt idx="1026">
                  <c:v>19</c:v>
                </c:pt>
                <c:pt idx="1027">
                  <c:v>23</c:v>
                </c:pt>
                <c:pt idx="1028">
                  <c:v>54</c:v>
                </c:pt>
                <c:pt idx="1029">
                  <c:v>37</c:v>
                </c:pt>
                <c:pt idx="1030">
                  <c:v>46</c:v>
                </c:pt>
                <c:pt idx="1031">
                  <c:v>55</c:v>
                </c:pt>
                <c:pt idx="1032">
                  <c:v>30</c:v>
                </c:pt>
                <c:pt idx="1033">
                  <c:v>18</c:v>
                </c:pt>
                <c:pt idx="1034">
                  <c:v>61</c:v>
                </c:pt>
                <c:pt idx="1035">
                  <c:v>54</c:v>
                </c:pt>
                <c:pt idx="1036">
                  <c:v>22</c:v>
                </c:pt>
                <c:pt idx="1037">
                  <c:v>45</c:v>
                </c:pt>
                <c:pt idx="1038">
                  <c:v>22</c:v>
                </c:pt>
                <c:pt idx="1039">
                  <c:v>19</c:v>
                </c:pt>
                <c:pt idx="1040">
                  <c:v>35</c:v>
                </c:pt>
                <c:pt idx="1041">
                  <c:v>18</c:v>
                </c:pt>
                <c:pt idx="1042">
                  <c:v>20</c:v>
                </c:pt>
                <c:pt idx="1043">
                  <c:v>28</c:v>
                </c:pt>
                <c:pt idx="1044">
                  <c:v>55</c:v>
                </c:pt>
                <c:pt idx="1045">
                  <c:v>43</c:v>
                </c:pt>
                <c:pt idx="1046">
                  <c:v>43</c:v>
                </c:pt>
                <c:pt idx="1047">
                  <c:v>22</c:v>
                </c:pt>
                <c:pt idx="1048">
                  <c:v>25</c:v>
                </c:pt>
                <c:pt idx="1049">
                  <c:v>49</c:v>
                </c:pt>
                <c:pt idx="1050">
                  <c:v>44</c:v>
                </c:pt>
                <c:pt idx="1051">
                  <c:v>64</c:v>
                </c:pt>
                <c:pt idx="1052">
                  <c:v>49</c:v>
                </c:pt>
                <c:pt idx="1053">
                  <c:v>47</c:v>
                </c:pt>
                <c:pt idx="1054">
                  <c:v>27</c:v>
                </c:pt>
                <c:pt idx="1055">
                  <c:v>55</c:v>
                </c:pt>
                <c:pt idx="1056">
                  <c:v>48</c:v>
                </c:pt>
                <c:pt idx="1057">
                  <c:v>45</c:v>
                </c:pt>
                <c:pt idx="1058">
                  <c:v>24</c:v>
                </c:pt>
                <c:pt idx="1059">
                  <c:v>32</c:v>
                </c:pt>
                <c:pt idx="1060">
                  <c:v>24</c:v>
                </c:pt>
                <c:pt idx="1061">
                  <c:v>57</c:v>
                </c:pt>
                <c:pt idx="1062">
                  <c:v>59</c:v>
                </c:pt>
                <c:pt idx="1063">
                  <c:v>36</c:v>
                </c:pt>
                <c:pt idx="1064">
                  <c:v>29</c:v>
                </c:pt>
                <c:pt idx="1065">
                  <c:v>42</c:v>
                </c:pt>
                <c:pt idx="1066">
                  <c:v>48</c:v>
                </c:pt>
                <c:pt idx="1067">
                  <c:v>39</c:v>
                </c:pt>
                <c:pt idx="1068">
                  <c:v>63</c:v>
                </c:pt>
                <c:pt idx="1069">
                  <c:v>54</c:v>
                </c:pt>
                <c:pt idx="1070">
                  <c:v>37</c:v>
                </c:pt>
                <c:pt idx="1071">
                  <c:v>63</c:v>
                </c:pt>
                <c:pt idx="1072">
                  <c:v>21</c:v>
                </c:pt>
                <c:pt idx="1073">
                  <c:v>54</c:v>
                </c:pt>
                <c:pt idx="1074">
                  <c:v>60</c:v>
                </c:pt>
                <c:pt idx="1075">
                  <c:v>32</c:v>
                </c:pt>
                <c:pt idx="1076">
                  <c:v>47</c:v>
                </c:pt>
                <c:pt idx="1077">
                  <c:v>21</c:v>
                </c:pt>
                <c:pt idx="1078">
                  <c:v>28</c:v>
                </c:pt>
                <c:pt idx="1079">
                  <c:v>63</c:v>
                </c:pt>
                <c:pt idx="1080">
                  <c:v>18</c:v>
                </c:pt>
                <c:pt idx="1081">
                  <c:v>32</c:v>
                </c:pt>
                <c:pt idx="1082">
                  <c:v>38</c:v>
                </c:pt>
                <c:pt idx="1083">
                  <c:v>32</c:v>
                </c:pt>
                <c:pt idx="1084">
                  <c:v>62</c:v>
                </c:pt>
                <c:pt idx="1085">
                  <c:v>39</c:v>
                </c:pt>
                <c:pt idx="1086">
                  <c:v>55</c:v>
                </c:pt>
                <c:pt idx="1087">
                  <c:v>57</c:v>
                </c:pt>
                <c:pt idx="1088">
                  <c:v>52</c:v>
                </c:pt>
                <c:pt idx="1089">
                  <c:v>56</c:v>
                </c:pt>
                <c:pt idx="1090">
                  <c:v>47</c:v>
                </c:pt>
                <c:pt idx="1091">
                  <c:v>55</c:v>
                </c:pt>
                <c:pt idx="1092">
                  <c:v>23</c:v>
                </c:pt>
                <c:pt idx="1093">
                  <c:v>22</c:v>
                </c:pt>
                <c:pt idx="1094">
                  <c:v>50</c:v>
                </c:pt>
                <c:pt idx="1095">
                  <c:v>18</c:v>
                </c:pt>
                <c:pt idx="1096">
                  <c:v>51</c:v>
                </c:pt>
                <c:pt idx="1097">
                  <c:v>22</c:v>
                </c:pt>
                <c:pt idx="1098">
                  <c:v>52</c:v>
                </c:pt>
                <c:pt idx="1099">
                  <c:v>25</c:v>
                </c:pt>
                <c:pt idx="1100">
                  <c:v>33</c:v>
                </c:pt>
                <c:pt idx="1101">
                  <c:v>53</c:v>
                </c:pt>
                <c:pt idx="1102">
                  <c:v>29</c:v>
                </c:pt>
                <c:pt idx="1103">
                  <c:v>58</c:v>
                </c:pt>
                <c:pt idx="1104">
                  <c:v>37</c:v>
                </c:pt>
                <c:pt idx="1105">
                  <c:v>54</c:v>
                </c:pt>
                <c:pt idx="1106">
                  <c:v>49</c:v>
                </c:pt>
                <c:pt idx="1107">
                  <c:v>50</c:v>
                </c:pt>
                <c:pt idx="1108">
                  <c:v>26</c:v>
                </c:pt>
                <c:pt idx="1109">
                  <c:v>45</c:v>
                </c:pt>
                <c:pt idx="1110">
                  <c:v>54</c:v>
                </c:pt>
                <c:pt idx="1111">
                  <c:v>38</c:v>
                </c:pt>
                <c:pt idx="1112">
                  <c:v>48</c:v>
                </c:pt>
                <c:pt idx="1113">
                  <c:v>28</c:v>
                </c:pt>
                <c:pt idx="1114">
                  <c:v>23</c:v>
                </c:pt>
                <c:pt idx="1115">
                  <c:v>55</c:v>
                </c:pt>
                <c:pt idx="1116">
                  <c:v>41</c:v>
                </c:pt>
                <c:pt idx="1117">
                  <c:v>25</c:v>
                </c:pt>
                <c:pt idx="1118">
                  <c:v>33</c:v>
                </c:pt>
                <c:pt idx="1119">
                  <c:v>30</c:v>
                </c:pt>
                <c:pt idx="1120">
                  <c:v>23</c:v>
                </c:pt>
                <c:pt idx="1121">
                  <c:v>46</c:v>
                </c:pt>
                <c:pt idx="1122">
                  <c:v>53</c:v>
                </c:pt>
                <c:pt idx="1123">
                  <c:v>27</c:v>
                </c:pt>
                <c:pt idx="1124">
                  <c:v>23</c:v>
                </c:pt>
                <c:pt idx="1125">
                  <c:v>63</c:v>
                </c:pt>
                <c:pt idx="1126">
                  <c:v>55</c:v>
                </c:pt>
                <c:pt idx="1127">
                  <c:v>35</c:v>
                </c:pt>
                <c:pt idx="1128">
                  <c:v>34</c:v>
                </c:pt>
                <c:pt idx="1129">
                  <c:v>19</c:v>
                </c:pt>
                <c:pt idx="1130">
                  <c:v>39</c:v>
                </c:pt>
                <c:pt idx="1131">
                  <c:v>27</c:v>
                </c:pt>
                <c:pt idx="1132">
                  <c:v>57</c:v>
                </c:pt>
                <c:pt idx="1133">
                  <c:v>52</c:v>
                </c:pt>
                <c:pt idx="1134">
                  <c:v>28</c:v>
                </c:pt>
                <c:pt idx="1135">
                  <c:v>50</c:v>
                </c:pt>
                <c:pt idx="1136">
                  <c:v>44</c:v>
                </c:pt>
                <c:pt idx="1137">
                  <c:v>26</c:v>
                </c:pt>
                <c:pt idx="1138">
                  <c:v>33</c:v>
                </c:pt>
                <c:pt idx="1139">
                  <c:v>19</c:v>
                </c:pt>
                <c:pt idx="1140">
                  <c:v>50</c:v>
                </c:pt>
                <c:pt idx="1141">
                  <c:v>41</c:v>
                </c:pt>
                <c:pt idx="1142">
                  <c:v>52</c:v>
                </c:pt>
                <c:pt idx="1143">
                  <c:v>39</c:v>
                </c:pt>
                <c:pt idx="1144">
                  <c:v>50</c:v>
                </c:pt>
                <c:pt idx="1145">
                  <c:v>52</c:v>
                </c:pt>
                <c:pt idx="1146">
                  <c:v>60</c:v>
                </c:pt>
                <c:pt idx="1147">
                  <c:v>20</c:v>
                </c:pt>
                <c:pt idx="1148">
                  <c:v>55</c:v>
                </c:pt>
                <c:pt idx="1149">
                  <c:v>42</c:v>
                </c:pt>
                <c:pt idx="1150">
                  <c:v>18</c:v>
                </c:pt>
                <c:pt idx="1151">
                  <c:v>58</c:v>
                </c:pt>
                <c:pt idx="1152">
                  <c:v>43</c:v>
                </c:pt>
                <c:pt idx="1153">
                  <c:v>35</c:v>
                </c:pt>
                <c:pt idx="1154">
                  <c:v>48</c:v>
                </c:pt>
                <c:pt idx="1155">
                  <c:v>36</c:v>
                </c:pt>
                <c:pt idx="1156">
                  <c:v>19</c:v>
                </c:pt>
                <c:pt idx="1157">
                  <c:v>23</c:v>
                </c:pt>
                <c:pt idx="1158">
                  <c:v>20</c:v>
                </c:pt>
                <c:pt idx="1159">
                  <c:v>32</c:v>
                </c:pt>
                <c:pt idx="1160">
                  <c:v>43</c:v>
                </c:pt>
                <c:pt idx="1161">
                  <c:v>34</c:v>
                </c:pt>
                <c:pt idx="1162">
                  <c:v>30</c:v>
                </c:pt>
                <c:pt idx="1163">
                  <c:v>18</c:v>
                </c:pt>
                <c:pt idx="1164">
                  <c:v>41</c:v>
                </c:pt>
                <c:pt idx="1165">
                  <c:v>35</c:v>
                </c:pt>
                <c:pt idx="1166">
                  <c:v>57</c:v>
                </c:pt>
                <c:pt idx="1167">
                  <c:v>29</c:v>
                </c:pt>
                <c:pt idx="1168">
                  <c:v>32</c:v>
                </c:pt>
                <c:pt idx="1169">
                  <c:v>37</c:v>
                </c:pt>
                <c:pt idx="1170">
                  <c:v>18</c:v>
                </c:pt>
                <c:pt idx="1171">
                  <c:v>43</c:v>
                </c:pt>
                <c:pt idx="1172">
                  <c:v>56</c:v>
                </c:pt>
                <c:pt idx="1173">
                  <c:v>38</c:v>
                </c:pt>
                <c:pt idx="1174">
                  <c:v>29</c:v>
                </c:pt>
                <c:pt idx="1175">
                  <c:v>22</c:v>
                </c:pt>
                <c:pt idx="1176">
                  <c:v>52</c:v>
                </c:pt>
                <c:pt idx="1177">
                  <c:v>40</c:v>
                </c:pt>
                <c:pt idx="1178">
                  <c:v>23</c:v>
                </c:pt>
                <c:pt idx="1179">
                  <c:v>31</c:v>
                </c:pt>
                <c:pt idx="1180">
                  <c:v>42</c:v>
                </c:pt>
                <c:pt idx="1181">
                  <c:v>24</c:v>
                </c:pt>
                <c:pt idx="1182">
                  <c:v>25</c:v>
                </c:pt>
                <c:pt idx="1183">
                  <c:v>48</c:v>
                </c:pt>
                <c:pt idx="1184">
                  <c:v>23</c:v>
                </c:pt>
                <c:pt idx="1185">
                  <c:v>45</c:v>
                </c:pt>
                <c:pt idx="1186">
                  <c:v>20</c:v>
                </c:pt>
                <c:pt idx="1187">
                  <c:v>62</c:v>
                </c:pt>
                <c:pt idx="1188">
                  <c:v>43</c:v>
                </c:pt>
                <c:pt idx="1189">
                  <c:v>23</c:v>
                </c:pt>
                <c:pt idx="1190">
                  <c:v>31</c:v>
                </c:pt>
                <c:pt idx="1191">
                  <c:v>41</c:v>
                </c:pt>
                <c:pt idx="1192">
                  <c:v>58</c:v>
                </c:pt>
                <c:pt idx="1193">
                  <c:v>48</c:v>
                </c:pt>
                <c:pt idx="1194">
                  <c:v>31</c:v>
                </c:pt>
                <c:pt idx="1195">
                  <c:v>19</c:v>
                </c:pt>
                <c:pt idx="1196">
                  <c:v>19</c:v>
                </c:pt>
                <c:pt idx="1197">
                  <c:v>41</c:v>
                </c:pt>
                <c:pt idx="1198">
                  <c:v>40</c:v>
                </c:pt>
                <c:pt idx="1199">
                  <c:v>31</c:v>
                </c:pt>
                <c:pt idx="1200">
                  <c:v>37</c:v>
                </c:pt>
                <c:pt idx="1201">
                  <c:v>46</c:v>
                </c:pt>
                <c:pt idx="1202">
                  <c:v>22</c:v>
                </c:pt>
                <c:pt idx="1203">
                  <c:v>51</c:v>
                </c:pt>
                <c:pt idx="1204">
                  <c:v>18</c:v>
                </c:pt>
                <c:pt idx="1205">
                  <c:v>35</c:v>
                </c:pt>
                <c:pt idx="1206">
                  <c:v>59</c:v>
                </c:pt>
                <c:pt idx="1207">
                  <c:v>36</c:v>
                </c:pt>
                <c:pt idx="1208">
                  <c:v>37</c:v>
                </c:pt>
                <c:pt idx="1209">
                  <c:v>59</c:v>
                </c:pt>
                <c:pt idx="1210">
                  <c:v>36</c:v>
                </c:pt>
                <c:pt idx="1211">
                  <c:v>39</c:v>
                </c:pt>
                <c:pt idx="1212">
                  <c:v>18</c:v>
                </c:pt>
                <c:pt idx="1213">
                  <c:v>52</c:v>
                </c:pt>
                <c:pt idx="1214">
                  <c:v>27</c:v>
                </c:pt>
                <c:pt idx="1215">
                  <c:v>18</c:v>
                </c:pt>
                <c:pt idx="1216">
                  <c:v>40</c:v>
                </c:pt>
                <c:pt idx="1217">
                  <c:v>29</c:v>
                </c:pt>
                <c:pt idx="1218">
                  <c:v>46</c:v>
                </c:pt>
                <c:pt idx="1219">
                  <c:v>38</c:v>
                </c:pt>
                <c:pt idx="1220">
                  <c:v>30</c:v>
                </c:pt>
                <c:pt idx="1221">
                  <c:v>40</c:v>
                </c:pt>
                <c:pt idx="1222">
                  <c:v>50</c:v>
                </c:pt>
                <c:pt idx="1223">
                  <c:v>20</c:v>
                </c:pt>
                <c:pt idx="1224">
                  <c:v>41</c:v>
                </c:pt>
                <c:pt idx="1225">
                  <c:v>33</c:v>
                </c:pt>
                <c:pt idx="1226">
                  <c:v>38</c:v>
                </c:pt>
                <c:pt idx="1227">
                  <c:v>42</c:v>
                </c:pt>
                <c:pt idx="1228">
                  <c:v>56</c:v>
                </c:pt>
                <c:pt idx="1229">
                  <c:v>58</c:v>
                </c:pt>
                <c:pt idx="1230">
                  <c:v>52</c:v>
                </c:pt>
                <c:pt idx="1231">
                  <c:v>20</c:v>
                </c:pt>
                <c:pt idx="1232">
                  <c:v>54</c:v>
                </c:pt>
                <c:pt idx="1233">
                  <c:v>58</c:v>
                </c:pt>
                <c:pt idx="1234">
                  <c:v>45</c:v>
                </c:pt>
                <c:pt idx="1235">
                  <c:v>26</c:v>
                </c:pt>
                <c:pt idx="1236">
                  <c:v>63</c:v>
                </c:pt>
                <c:pt idx="1237">
                  <c:v>58</c:v>
                </c:pt>
                <c:pt idx="1238">
                  <c:v>37</c:v>
                </c:pt>
                <c:pt idx="1239">
                  <c:v>25</c:v>
                </c:pt>
                <c:pt idx="1240">
                  <c:v>52</c:v>
                </c:pt>
                <c:pt idx="1241">
                  <c:v>64</c:v>
                </c:pt>
                <c:pt idx="1242">
                  <c:v>22</c:v>
                </c:pt>
                <c:pt idx="1243">
                  <c:v>28</c:v>
                </c:pt>
                <c:pt idx="1244">
                  <c:v>18</c:v>
                </c:pt>
                <c:pt idx="1245">
                  <c:v>28</c:v>
                </c:pt>
                <c:pt idx="1246">
                  <c:v>45</c:v>
                </c:pt>
                <c:pt idx="1247">
                  <c:v>33</c:v>
                </c:pt>
                <c:pt idx="1248">
                  <c:v>18</c:v>
                </c:pt>
                <c:pt idx="1249">
                  <c:v>32</c:v>
                </c:pt>
                <c:pt idx="1250">
                  <c:v>24</c:v>
                </c:pt>
                <c:pt idx="1251">
                  <c:v>19</c:v>
                </c:pt>
                <c:pt idx="1252">
                  <c:v>20</c:v>
                </c:pt>
                <c:pt idx="1253">
                  <c:v>40</c:v>
                </c:pt>
                <c:pt idx="1254">
                  <c:v>34</c:v>
                </c:pt>
                <c:pt idx="1255">
                  <c:v>42</c:v>
                </c:pt>
                <c:pt idx="1256">
                  <c:v>51</c:v>
                </c:pt>
                <c:pt idx="1257">
                  <c:v>54</c:v>
                </c:pt>
                <c:pt idx="1258">
                  <c:v>55</c:v>
                </c:pt>
                <c:pt idx="1259">
                  <c:v>52</c:v>
                </c:pt>
                <c:pt idx="1260">
                  <c:v>32</c:v>
                </c:pt>
                <c:pt idx="1261">
                  <c:v>28</c:v>
                </c:pt>
                <c:pt idx="1262">
                  <c:v>41</c:v>
                </c:pt>
                <c:pt idx="1263">
                  <c:v>43</c:v>
                </c:pt>
                <c:pt idx="1264">
                  <c:v>49</c:v>
                </c:pt>
                <c:pt idx="1265">
                  <c:v>64</c:v>
                </c:pt>
                <c:pt idx="1266">
                  <c:v>55</c:v>
                </c:pt>
                <c:pt idx="1267">
                  <c:v>24</c:v>
                </c:pt>
                <c:pt idx="1268">
                  <c:v>20</c:v>
                </c:pt>
                <c:pt idx="1269">
                  <c:v>45</c:v>
                </c:pt>
                <c:pt idx="1270">
                  <c:v>26</c:v>
                </c:pt>
                <c:pt idx="1271">
                  <c:v>25</c:v>
                </c:pt>
                <c:pt idx="1272">
                  <c:v>43</c:v>
                </c:pt>
                <c:pt idx="1273">
                  <c:v>35</c:v>
                </c:pt>
                <c:pt idx="1274">
                  <c:v>26</c:v>
                </c:pt>
                <c:pt idx="1275">
                  <c:v>57</c:v>
                </c:pt>
                <c:pt idx="1276">
                  <c:v>22</c:v>
                </c:pt>
                <c:pt idx="1277">
                  <c:v>32</c:v>
                </c:pt>
                <c:pt idx="1278">
                  <c:v>39</c:v>
                </c:pt>
                <c:pt idx="1279">
                  <c:v>25</c:v>
                </c:pt>
                <c:pt idx="1280">
                  <c:v>48</c:v>
                </c:pt>
                <c:pt idx="1281">
                  <c:v>47</c:v>
                </c:pt>
                <c:pt idx="1282">
                  <c:v>18</c:v>
                </c:pt>
                <c:pt idx="1283">
                  <c:v>18</c:v>
                </c:pt>
                <c:pt idx="1284">
                  <c:v>61</c:v>
                </c:pt>
                <c:pt idx="1285">
                  <c:v>47</c:v>
                </c:pt>
                <c:pt idx="1286">
                  <c:v>28</c:v>
                </c:pt>
                <c:pt idx="1287">
                  <c:v>36</c:v>
                </c:pt>
                <c:pt idx="1288">
                  <c:v>20</c:v>
                </c:pt>
                <c:pt idx="1289">
                  <c:v>44</c:v>
                </c:pt>
                <c:pt idx="1290">
                  <c:v>38</c:v>
                </c:pt>
                <c:pt idx="1291">
                  <c:v>19</c:v>
                </c:pt>
                <c:pt idx="1292">
                  <c:v>21</c:v>
                </c:pt>
                <c:pt idx="1293">
                  <c:v>46</c:v>
                </c:pt>
                <c:pt idx="1294">
                  <c:v>58</c:v>
                </c:pt>
                <c:pt idx="1295">
                  <c:v>20</c:v>
                </c:pt>
                <c:pt idx="1296">
                  <c:v>18</c:v>
                </c:pt>
                <c:pt idx="1297">
                  <c:v>28</c:v>
                </c:pt>
                <c:pt idx="1298">
                  <c:v>33</c:v>
                </c:pt>
                <c:pt idx="1299">
                  <c:v>19</c:v>
                </c:pt>
                <c:pt idx="1300">
                  <c:v>45</c:v>
                </c:pt>
                <c:pt idx="1301">
                  <c:v>62</c:v>
                </c:pt>
                <c:pt idx="1302">
                  <c:v>25</c:v>
                </c:pt>
                <c:pt idx="1303">
                  <c:v>43</c:v>
                </c:pt>
                <c:pt idx="1304">
                  <c:v>42</c:v>
                </c:pt>
                <c:pt idx="1305">
                  <c:v>24</c:v>
                </c:pt>
                <c:pt idx="1306">
                  <c:v>29</c:v>
                </c:pt>
                <c:pt idx="1307">
                  <c:v>32</c:v>
                </c:pt>
                <c:pt idx="1308">
                  <c:v>25</c:v>
                </c:pt>
                <c:pt idx="1309">
                  <c:v>41</c:v>
                </c:pt>
                <c:pt idx="1310">
                  <c:v>42</c:v>
                </c:pt>
                <c:pt idx="1311">
                  <c:v>33</c:v>
                </c:pt>
                <c:pt idx="1312">
                  <c:v>34</c:v>
                </c:pt>
                <c:pt idx="1313">
                  <c:v>19</c:v>
                </c:pt>
                <c:pt idx="1314">
                  <c:v>30</c:v>
                </c:pt>
                <c:pt idx="1315">
                  <c:v>18</c:v>
                </c:pt>
                <c:pt idx="1316">
                  <c:v>19</c:v>
                </c:pt>
                <c:pt idx="1317">
                  <c:v>18</c:v>
                </c:pt>
                <c:pt idx="1318">
                  <c:v>35</c:v>
                </c:pt>
                <c:pt idx="1319">
                  <c:v>39</c:v>
                </c:pt>
                <c:pt idx="1320">
                  <c:v>31</c:v>
                </c:pt>
                <c:pt idx="1321">
                  <c:v>62</c:v>
                </c:pt>
                <c:pt idx="1322">
                  <c:v>62</c:v>
                </c:pt>
                <c:pt idx="1323">
                  <c:v>42</c:v>
                </c:pt>
                <c:pt idx="1324">
                  <c:v>31</c:v>
                </c:pt>
                <c:pt idx="1325">
                  <c:v>61</c:v>
                </c:pt>
                <c:pt idx="1326">
                  <c:v>42</c:v>
                </c:pt>
                <c:pt idx="1327">
                  <c:v>51</c:v>
                </c:pt>
                <c:pt idx="1328">
                  <c:v>23</c:v>
                </c:pt>
                <c:pt idx="1329">
                  <c:v>52</c:v>
                </c:pt>
                <c:pt idx="1330">
                  <c:v>57</c:v>
                </c:pt>
                <c:pt idx="1331">
                  <c:v>23</c:v>
                </c:pt>
                <c:pt idx="1332">
                  <c:v>52</c:v>
                </c:pt>
                <c:pt idx="1333">
                  <c:v>50</c:v>
                </c:pt>
                <c:pt idx="1334">
                  <c:v>18</c:v>
                </c:pt>
                <c:pt idx="1335">
                  <c:v>18</c:v>
                </c:pt>
                <c:pt idx="1336">
                  <c:v>21</c:v>
                </c:pt>
                <c:pt idx="1337">
                  <c:v>61</c:v>
                </c:pt>
              </c:numCache>
            </c:numRef>
          </c:xVal>
          <c:yVal>
            <c:numRef>
              <c:f>insurance!$A$2:$A$1339</c:f>
              <c:numCache>
                <c:formatCode>General</c:formatCode>
                <c:ptCount val="1338"/>
                <c:pt idx="0">
                  <c:v>19</c:v>
                </c:pt>
                <c:pt idx="1">
                  <c:v>18</c:v>
                </c:pt>
                <c:pt idx="2">
                  <c:v>28</c:v>
                </c:pt>
                <c:pt idx="3">
                  <c:v>33</c:v>
                </c:pt>
                <c:pt idx="4">
                  <c:v>32</c:v>
                </c:pt>
                <c:pt idx="5">
                  <c:v>31</c:v>
                </c:pt>
                <c:pt idx="6">
                  <c:v>46</c:v>
                </c:pt>
                <c:pt idx="7">
                  <c:v>37</c:v>
                </c:pt>
                <c:pt idx="8">
                  <c:v>37</c:v>
                </c:pt>
                <c:pt idx="9">
                  <c:v>60</c:v>
                </c:pt>
                <c:pt idx="10">
                  <c:v>25</c:v>
                </c:pt>
                <c:pt idx="11">
                  <c:v>62</c:v>
                </c:pt>
                <c:pt idx="12">
                  <c:v>23</c:v>
                </c:pt>
                <c:pt idx="13">
                  <c:v>56</c:v>
                </c:pt>
                <c:pt idx="14">
                  <c:v>27</c:v>
                </c:pt>
                <c:pt idx="15">
                  <c:v>19</c:v>
                </c:pt>
                <c:pt idx="16">
                  <c:v>52</c:v>
                </c:pt>
                <c:pt idx="17">
                  <c:v>23</c:v>
                </c:pt>
                <c:pt idx="18">
                  <c:v>56</c:v>
                </c:pt>
                <c:pt idx="19">
                  <c:v>30</c:v>
                </c:pt>
                <c:pt idx="20">
                  <c:v>60</c:v>
                </c:pt>
                <c:pt idx="21">
                  <c:v>30</c:v>
                </c:pt>
                <c:pt idx="22">
                  <c:v>18</c:v>
                </c:pt>
                <c:pt idx="23">
                  <c:v>34</c:v>
                </c:pt>
                <c:pt idx="24">
                  <c:v>37</c:v>
                </c:pt>
                <c:pt idx="25">
                  <c:v>59</c:v>
                </c:pt>
                <c:pt idx="26">
                  <c:v>63</c:v>
                </c:pt>
                <c:pt idx="27">
                  <c:v>55</c:v>
                </c:pt>
                <c:pt idx="28">
                  <c:v>23</c:v>
                </c:pt>
                <c:pt idx="29">
                  <c:v>31</c:v>
                </c:pt>
                <c:pt idx="30">
                  <c:v>22</c:v>
                </c:pt>
                <c:pt idx="31">
                  <c:v>18</c:v>
                </c:pt>
                <c:pt idx="32">
                  <c:v>19</c:v>
                </c:pt>
                <c:pt idx="33">
                  <c:v>63</c:v>
                </c:pt>
                <c:pt idx="34">
                  <c:v>28</c:v>
                </c:pt>
                <c:pt idx="35">
                  <c:v>19</c:v>
                </c:pt>
                <c:pt idx="36">
                  <c:v>62</c:v>
                </c:pt>
                <c:pt idx="37">
                  <c:v>26</c:v>
                </c:pt>
                <c:pt idx="38">
                  <c:v>35</c:v>
                </c:pt>
                <c:pt idx="39">
                  <c:v>60</c:v>
                </c:pt>
                <c:pt idx="40">
                  <c:v>24</c:v>
                </c:pt>
                <c:pt idx="41">
                  <c:v>31</c:v>
                </c:pt>
                <c:pt idx="42">
                  <c:v>41</c:v>
                </c:pt>
                <c:pt idx="43">
                  <c:v>37</c:v>
                </c:pt>
                <c:pt idx="44">
                  <c:v>38</c:v>
                </c:pt>
                <c:pt idx="45">
                  <c:v>55</c:v>
                </c:pt>
                <c:pt idx="46">
                  <c:v>18</c:v>
                </c:pt>
                <c:pt idx="47">
                  <c:v>28</c:v>
                </c:pt>
                <c:pt idx="48">
                  <c:v>60</c:v>
                </c:pt>
                <c:pt idx="49">
                  <c:v>36</c:v>
                </c:pt>
                <c:pt idx="50">
                  <c:v>18</c:v>
                </c:pt>
                <c:pt idx="51">
                  <c:v>21</c:v>
                </c:pt>
                <c:pt idx="52">
                  <c:v>48</c:v>
                </c:pt>
                <c:pt idx="53">
                  <c:v>36</c:v>
                </c:pt>
                <c:pt idx="54">
                  <c:v>40</c:v>
                </c:pt>
                <c:pt idx="55">
                  <c:v>58</c:v>
                </c:pt>
                <c:pt idx="56">
                  <c:v>58</c:v>
                </c:pt>
                <c:pt idx="57">
                  <c:v>18</c:v>
                </c:pt>
                <c:pt idx="58">
                  <c:v>53</c:v>
                </c:pt>
                <c:pt idx="59">
                  <c:v>34</c:v>
                </c:pt>
                <c:pt idx="60">
                  <c:v>43</c:v>
                </c:pt>
                <c:pt idx="61">
                  <c:v>25</c:v>
                </c:pt>
                <c:pt idx="62">
                  <c:v>64</c:v>
                </c:pt>
                <c:pt idx="63">
                  <c:v>28</c:v>
                </c:pt>
                <c:pt idx="64">
                  <c:v>20</c:v>
                </c:pt>
                <c:pt idx="65">
                  <c:v>19</c:v>
                </c:pt>
                <c:pt idx="66">
                  <c:v>61</c:v>
                </c:pt>
                <c:pt idx="67">
                  <c:v>40</c:v>
                </c:pt>
                <c:pt idx="68">
                  <c:v>40</c:v>
                </c:pt>
                <c:pt idx="69">
                  <c:v>28</c:v>
                </c:pt>
                <c:pt idx="70">
                  <c:v>27</c:v>
                </c:pt>
                <c:pt idx="71">
                  <c:v>31</c:v>
                </c:pt>
                <c:pt idx="72">
                  <c:v>53</c:v>
                </c:pt>
                <c:pt idx="73">
                  <c:v>58</c:v>
                </c:pt>
                <c:pt idx="74">
                  <c:v>44</c:v>
                </c:pt>
                <c:pt idx="75">
                  <c:v>57</c:v>
                </c:pt>
                <c:pt idx="76">
                  <c:v>29</c:v>
                </c:pt>
                <c:pt idx="77">
                  <c:v>21</c:v>
                </c:pt>
                <c:pt idx="78">
                  <c:v>22</c:v>
                </c:pt>
                <c:pt idx="79">
                  <c:v>41</c:v>
                </c:pt>
                <c:pt idx="80">
                  <c:v>31</c:v>
                </c:pt>
                <c:pt idx="81">
                  <c:v>45</c:v>
                </c:pt>
                <c:pt idx="82">
                  <c:v>22</c:v>
                </c:pt>
                <c:pt idx="83">
                  <c:v>48</c:v>
                </c:pt>
                <c:pt idx="84">
                  <c:v>37</c:v>
                </c:pt>
                <c:pt idx="85">
                  <c:v>45</c:v>
                </c:pt>
                <c:pt idx="86">
                  <c:v>57</c:v>
                </c:pt>
                <c:pt idx="87">
                  <c:v>56</c:v>
                </c:pt>
                <c:pt idx="88">
                  <c:v>46</c:v>
                </c:pt>
                <c:pt idx="89">
                  <c:v>55</c:v>
                </c:pt>
                <c:pt idx="90">
                  <c:v>21</c:v>
                </c:pt>
                <c:pt idx="91">
                  <c:v>53</c:v>
                </c:pt>
                <c:pt idx="92">
                  <c:v>59</c:v>
                </c:pt>
                <c:pt idx="93">
                  <c:v>35</c:v>
                </c:pt>
                <c:pt idx="94">
                  <c:v>64</c:v>
                </c:pt>
                <c:pt idx="95">
                  <c:v>28</c:v>
                </c:pt>
                <c:pt idx="96">
                  <c:v>54</c:v>
                </c:pt>
                <c:pt idx="97">
                  <c:v>55</c:v>
                </c:pt>
                <c:pt idx="98">
                  <c:v>56</c:v>
                </c:pt>
                <c:pt idx="99">
                  <c:v>38</c:v>
                </c:pt>
                <c:pt idx="100">
                  <c:v>41</c:v>
                </c:pt>
                <c:pt idx="101">
                  <c:v>30</c:v>
                </c:pt>
                <c:pt idx="102">
                  <c:v>18</c:v>
                </c:pt>
                <c:pt idx="103">
                  <c:v>61</c:v>
                </c:pt>
                <c:pt idx="104">
                  <c:v>34</c:v>
                </c:pt>
                <c:pt idx="105">
                  <c:v>20</c:v>
                </c:pt>
                <c:pt idx="106">
                  <c:v>19</c:v>
                </c:pt>
                <c:pt idx="107">
                  <c:v>26</c:v>
                </c:pt>
                <c:pt idx="108">
                  <c:v>29</c:v>
                </c:pt>
                <c:pt idx="109">
                  <c:v>63</c:v>
                </c:pt>
                <c:pt idx="110">
                  <c:v>54</c:v>
                </c:pt>
                <c:pt idx="111">
                  <c:v>55</c:v>
                </c:pt>
                <c:pt idx="112">
                  <c:v>37</c:v>
                </c:pt>
                <c:pt idx="113">
                  <c:v>21</c:v>
                </c:pt>
                <c:pt idx="114">
                  <c:v>52</c:v>
                </c:pt>
                <c:pt idx="115">
                  <c:v>60</c:v>
                </c:pt>
                <c:pt idx="116">
                  <c:v>58</c:v>
                </c:pt>
                <c:pt idx="117">
                  <c:v>29</c:v>
                </c:pt>
                <c:pt idx="118">
                  <c:v>49</c:v>
                </c:pt>
                <c:pt idx="119">
                  <c:v>37</c:v>
                </c:pt>
                <c:pt idx="120">
                  <c:v>44</c:v>
                </c:pt>
                <c:pt idx="121">
                  <c:v>18</c:v>
                </c:pt>
                <c:pt idx="122">
                  <c:v>20</c:v>
                </c:pt>
                <c:pt idx="123">
                  <c:v>44</c:v>
                </c:pt>
                <c:pt idx="124">
                  <c:v>47</c:v>
                </c:pt>
                <c:pt idx="125">
                  <c:v>26</c:v>
                </c:pt>
                <c:pt idx="126">
                  <c:v>19</c:v>
                </c:pt>
                <c:pt idx="127">
                  <c:v>52</c:v>
                </c:pt>
                <c:pt idx="128">
                  <c:v>32</c:v>
                </c:pt>
                <c:pt idx="129">
                  <c:v>38</c:v>
                </c:pt>
                <c:pt idx="130">
                  <c:v>59</c:v>
                </c:pt>
                <c:pt idx="131">
                  <c:v>61</c:v>
                </c:pt>
                <c:pt idx="132">
                  <c:v>53</c:v>
                </c:pt>
                <c:pt idx="133">
                  <c:v>19</c:v>
                </c:pt>
                <c:pt idx="134">
                  <c:v>20</c:v>
                </c:pt>
                <c:pt idx="135">
                  <c:v>22</c:v>
                </c:pt>
                <c:pt idx="136">
                  <c:v>19</c:v>
                </c:pt>
                <c:pt idx="137">
                  <c:v>22</c:v>
                </c:pt>
                <c:pt idx="138">
                  <c:v>54</c:v>
                </c:pt>
                <c:pt idx="139">
                  <c:v>22</c:v>
                </c:pt>
                <c:pt idx="140">
                  <c:v>34</c:v>
                </c:pt>
                <c:pt idx="141">
                  <c:v>26</c:v>
                </c:pt>
                <c:pt idx="142">
                  <c:v>34</c:v>
                </c:pt>
                <c:pt idx="143">
                  <c:v>29</c:v>
                </c:pt>
                <c:pt idx="144">
                  <c:v>30</c:v>
                </c:pt>
                <c:pt idx="145">
                  <c:v>29</c:v>
                </c:pt>
                <c:pt idx="146">
                  <c:v>46</c:v>
                </c:pt>
                <c:pt idx="147">
                  <c:v>51</c:v>
                </c:pt>
                <c:pt idx="148">
                  <c:v>53</c:v>
                </c:pt>
                <c:pt idx="149">
                  <c:v>19</c:v>
                </c:pt>
                <c:pt idx="150">
                  <c:v>35</c:v>
                </c:pt>
                <c:pt idx="151">
                  <c:v>48</c:v>
                </c:pt>
                <c:pt idx="152">
                  <c:v>32</c:v>
                </c:pt>
                <c:pt idx="153">
                  <c:v>42</c:v>
                </c:pt>
                <c:pt idx="154">
                  <c:v>40</c:v>
                </c:pt>
                <c:pt idx="155">
                  <c:v>44</c:v>
                </c:pt>
                <c:pt idx="156">
                  <c:v>48</c:v>
                </c:pt>
                <c:pt idx="157">
                  <c:v>18</c:v>
                </c:pt>
                <c:pt idx="158">
                  <c:v>30</c:v>
                </c:pt>
                <c:pt idx="159">
                  <c:v>50</c:v>
                </c:pt>
                <c:pt idx="160">
                  <c:v>42</c:v>
                </c:pt>
                <c:pt idx="161">
                  <c:v>18</c:v>
                </c:pt>
                <c:pt idx="162">
                  <c:v>54</c:v>
                </c:pt>
                <c:pt idx="163">
                  <c:v>32</c:v>
                </c:pt>
                <c:pt idx="164">
                  <c:v>37</c:v>
                </c:pt>
                <c:pt idx="165">
                  <c:v>47</c:v>
                </c:pt>
                <c:pt idx="166">
                  <c:v>20</c:v>
                </c:pt>
                <c:pt idx="167">
                  <c:v>32</c:v>
                </c:pt>
                <c:pt idx="168">
                  <c:v>19</c:v>
                </c:pt>
                <c:pt idx="169">
                  <c:v>27</c:v>
                </c:pt>
                <c:pt idx="170">
                  <c:v>63</c:v>
                </c:pt>
                <c:pt idx="171">
                  <c:v>49</c:v>
                </c:pt>
                <c:pt idx="172">
                  <c:v>18</c:v>
                </c:pt>
                <c:pt idx="173">
                  <c:v>35</c:v>
                </c:pt>
                <c:pt idx="174">
                  <c:v>24</c:v>
                </c:pt>
                <c:pt idx="175">
                  <c:v>63</c:v>
                </c:pt>
                <c:pt idx="176">
                  <c:v>38</c:v>
                </c:pt>
                <c:pt idx="177">
                  <c:v>54</c:v>
                </c:pt>
                <c:pt idx="178">
                  <c:v>46</c:v>
                </c:pt>
                <c:pt idx="179">
                  <c:v>41</c:v>
                </c:pt>
                <c:pt idx="180">
                  <c:v>58</c:v>
                </c:pt>
                <c:pt idx="181">
                  <c:v>18</c:v>
                </c:pt>
                <c:pt idx="182">
                  <c:v>22</c:v>
                </c:pt>
                <c:pt idx="183">
                  <c:v>44</c:v>
                </c:pt>
                <c:pt idx="184">
                  <c:v>44</c:v>
                </c:pt>
                <c:pt idx="185">
                  <c:v>36</c:v>
                </c:pt>
                <c:pt idx="186">
                  <c:v>26</c:v>
                </c:pt>
                <c:pt idx="187">
                  <c:v>30</c:v>
                </c:pt>
                <c:pt idx="188">
                  <c:v>41</c:v>
                </c:pt>
                <c:pt idx="189">
                  <c:v>29</c:v>
                </c:pt>
                <c:pt idx="190">
                  <c:v>61</c:v>
                </c:pt>
                <c:pt idx="191">
                  <c:v>36</c:v>
                </c:pt>
                <c:pt idx="192">
                  <c:v>25</c:v>
                </c:pt>
                <c:pt idx="193">
                  <c:v>56</c:v>
                </c:pt>
                <c:pt idx="194">
                  <c:v>18</c:v>
                </c:pt>
                <c:pt idx="195">
                  <c:v>19</c:v>
                </c:pt>
                <c:pt idx="196">
                  <c:v>39</c:v>
                </c:pt>
                <c:pt idx="197">
                  <c:v>45</c:v>
                </c:pt>
                <c:pt idx="198">
                  <c:v>51</c:v>
                </c:pt>
                <c:pt idx="199">
                  <c:v>64</c:v>
                </c:pt>
                <c:pt idx="200">
                  <c:v>19</c:v>
                </c:pt>
                <c:pt idx="201">
                  <c:v>48</c:v>
                </c:pt>
                <c:pt idx="202">
                  <c:v>60</c:v>
                </c:pt>
                <c:pt idx="203">
                  <c:v>27</c:v>
                </c:pt>
                <c:pt idx="204">
                  <c:v>46</c:v>
                </c:pt>
                <c:pt idx="205">
                  <c:v>28</c:v>
                </c:pt>
                <c:pt idx="206">
                  <c:v>59</c:v>
                </c:pt>
                <c:pt idx="207">
                  <c:v>35</c:v>
                </c:pt>
                <c:pt idx="208">
                  <c:v>63</c:v>
                </c:pt>
                <c:pt idx="209">
                  <c:v>40</c:v>
                </c:pt>
                <c:pt idx="210">
                  <c:v>20</c:v>
                </c:pt>
                <c:pt idx="211">
                  <c:v>40</c:v>
                </c:pt>
                <c:pt idx="212">
                  <c:v>24</c:v>
                </c:pt>
                <c:pt idx="213">
                  <c:v>34</c:v>
                </c:pt>
                <c:pt idx="214">
                  <c:v>45</c:v>
                </c:pt>
                <c:pt idx="215">
                  <c:v>41</c:v>
                </c:pt>
                <c:pt idx="216">
                  <c:v>53</c:v>
                </c:pt>
                <c:pt idx="217">
                  <c:v>27</c:v>
                </c:pt>
                <c:pt idx="218">
                  <c:v>26</c:v>
                </c:pt>
                <c:pt idx="219">
                  <c:v>24</c:v>
                </c:pt>
                <c:pt idx="220">
                  <c:v>34</c:v>
                </c:pt>
                <c:pt idx="221">
                  <c:v>53</c:v>
                </c:pt>
                <c:pt idx="222">
                  <c:v>32</c:v>
                </c:pt>
                <c:pt idx="223">
                  <c:v>19</c:v>
                </c:pt>
                <c:pt idx="224">
                  <c:v>42</c:v>
                </c:pt>
                <c:pt idx="225">
                  <c:v>55</c:v>
                </c:pt>
                <c:pt idx="226">
                  <c:v>28</c:v>
                </c:pt>
                <c:pt idx="227">
                  <c:v>58</c:v>
                </c:pt>
                <c:pt idx="228">
                  <c:v>41</c:v>
                </c:pt>
                <c:pt idx="229">
                  <c:v>47</c:v>
                </c:pt>
                <c:pt idx="230">
                  <c:v>42</c:v>
                </c:pt>
                <c:pt idx="231">
                  <c:v>59</c:v>
                </c:pt>
                <c:pt idx="232">
                  <c:v>19</c:v>
                </c:pt>
                <c:pt idx="233">
                  <c:v>59</c:v>
                </c:pt>
                <c:pt idx="234">
                  <c:v>39</c:v>
                </c:pt>
                <c:pt idx="235">
                  <c:v>40</c:v>
                </c:pt>
                <c:pt idx="236">
                  <c:v>18</c:v>
                </c:pt>
                <c:pt idx="237">
                  <c:v>31</c:v>
                </c:pt>
                <c:pt idx="238">
                  <c:v>19</c:v>
                </c:pt>
                <c:pt idx="239">
                  <c:v>44</c:v>
                </c:pt>
                <c:pt idx="240">
                  <c:v>23</c:v>
                </c:pt>
                <c:pt idx="241">
                  <c:v>33</c:v>
                </c:pt>
                <c:pt idx="242">
                  <c:v>55</c:v>
                </c:pt>
                <c:pt idx="243">
                  <c:v>40</c:v>
                </c:pt>
                <c:pt idx="244">
                  <c:v>63</c:v>
                </c:pt>
                <c:pt idx="245">
                  <c:v>54</c:v>
                </c:pt>
                <c:pt idx="246">
                  <c:v>60</c:v>
                </c:pt>
                <c:pt idx="247">
                  <c:v>24</c:v>
                </c:pt>
                <c:pt idx="248">
                  <c:v>19</c:v>
                </c:pt>
                <c:pt idx="249">
                  <c:v>29</c:v>
                </c:pt>
                <c:pt idx="250">
                  <c:v>18</c:v>
                </c:pt>
                <c:pt idx="251">
                  <c:v>63</c:v>
                </c:pt>
                <c:pt idx="252">
                  <c:v>54</c:v>
                </c:pt>
                <c:pt idx="253">
                  <c:v>27</c:v>
                </c:pt>
                <c:pt idx="254">
                  <c:v>50</c:v>
                </c:pt>
                <c:pt idx="255">
                  <c:v>55</c:v>
                </c:pt>
                <c:pt idx="256">
                  <c:v>56</c:v>
                </c:pt>
                <c:pt idx="257">
                  <c:v>38</c:v>
                </c:pt>
                <c:pt idx="258">
                  <c:v>51</c:v>
                </c:pt>
                <c:pt idx="259">
                  <c:v>19</c:v>
                </c:pt>
                <c:pt idx="260">
                  <c:v>58</c:v>
                </c:pt>
                <c:pt idx="261">
                  <c:v>20</c:v>
                </c:pt>
                <c:pt idx="262">
                  <c:v>52</c:v>
                </c:pt>
                <c:pt idx="263">
                  <c:v>19</c:v>
                </c:pt>
                <c:pt idx="264">
                  <c:v>53</c:v>
                </c:pt>
                <c:pt idx="265">
                  <c:v>46</c:v>
                </c:pt>
                <c:pt idx="266">
                  <c:v>40</c:v>
                </c:pt>
                <c:pt idx="267">
                  <c:v>59</c:v>
                </c:pt>
                <c:pt idx="268">
                  <c:v>45</c:v>
                </c:pt>
                <c:pt idx="269">
                  <c:v>49</c:v>
                </c:pt>
                <c:pt idx="270">
                  <c:v>18</c:v>
                </c:pt>
                <c:pt idx="271">
                  <c:v>50</c:v>
                </c:pt>
                <c:pt idx="272">
                  <c:v>41</c:v>
                </c:pt>
                <c:pt idx="273">
                  <c:v>50</c:v>
                </c:pt>
                <c:pt idx="274">
                  <c:v>25</c:v>
                </c:pt>
                <c:pt idx="275">
                  <c:v>47</c:v>
                </c:pt>
                <c:pt idx="276">
                  <c:v>19</c:v>
                </c:pt>
                <c:pt idx="277">
                  <c:v>22</c:v>
                </c:pt>
                <c:pt idx="278">
                  <c:v>59</c:v>
                </c:pt>
                <c:pt idx="279">
                  <c:v>51</c:v>
                </c:pt>
                <c:pt idx="280">
                  <c:v>40</c:v>
                </c:pt>
                <c:pt idx="281">
                  <c:v>54</c:v>
                </c:pt>
                <c:pt idx="282">
                  <c:v>30</c:v>
                </c:pt>
                <c:pt idx="283">
                  <c:v>55</c:v>
                </c:pt>
                <c:pt idx="284">
                  <c:v>52</c:v>
                </c:pt>
                <c:pt idx="285">
                  <c:v>46</c:v>
                </c:pt>
                <c:pt idx="286">
                  <c:v>46</c:v>
                </c:pt>
                <c:pt idx="287">
                  <c:v>63</c:v>
                </c:pt>
                <c:pt idx="288">
                  <c:v>59</c:v>
                </c:pt>
                <c:pt idx="289">
                  <c:v>52</c:v>
                </c:pt>
                <c:pt idx="290">
                  <c:v>28</c:v>
                </c:pt>
                <c:pt idx="291">
                  <c:v>29</c:v>
                </c:pt>
                <c:pt idx="292">
                  <c:v>25</c:v>
                </c:pt>
                <c:pt idx="293">
                  <c:v>22</c:v>
                </c:pt>
                <c:pt idx="294">
                  <c:v>25</c:v>
                </c:pt>
                <c:pt idx="295">
                  <c:v>18</c:v>
                </c:pt>
                <c:pt idx="296">
                  <c:v>19</c:v>
                </c:pt>
                <c:pt idx="297">
                  <c:v>47</c:v>
                </c:pt>
                <c:pt idx="298">
                  <c:v>31</c:v>
                </c:pt>
                <c:pt idx="299">
                  <c:v>48</c:v>
                </c:pt>
                <c:pt idx="300">
                  <c:v>36</c:v>
                </c:pt>
                <c:pt idx="301">
                  <c:v>53</c:v>
                </c:pt>
                <c:pt idx="302">
                  <c:v>56</c:v>
                </c:pt>
                <c:pt idx="303">
                  <c:v>28</c:v>
                </c:pt>
                <c:pt idx="304">
                  <c:v>57</c:v>
                </c:pt>
                <c:pt idx="305">
                  <c:v>29</c:v>
                </c:pt>
                <c:pt idx="306">
                  <c:v>28</c:v>
                </c:pt>
                <c:pt idx="307">
                  <c:v>30</c:v>
                </c:pt>
                <c:pt idx="308">
                  <c:v>58</c:v>
                </c:pt>
                <c:pt idx="309">
                  <c:v>41</c:v>
                </c:pt>
                <c:pt idx="310">
                  <c:v>50</c:v>
                </c:pt>
                <c:pt idx="311">
                  <c:v>19</c:v>
                </c:pt>
                <c:pt idx="312">
                  <c:v>43</c:v>
                </c:pt>
                <c:pt idx="313">
                  <c:v>49</c:v>
                </c:pt>
                <c:pt idx="314">
                  <c:v>27</c:v>
                </c:pt>
                <c:pt idx="315">
                  <c:v>52</c:v>
                </c:pt>
                <c:pt idx="316">
                  <c:v>50</c:v>
                </c:pt>
                <c:pt idx="317">
                  <c:v>54</c:v>
                </c:pt>
                <c:pt idx="318">
                  <c:v>44</c:v>
                </c:pt>
                <c:pt idx="319">
                  <c:v>32</c:v>
                </c:pt>
                <c:pt idx="320">
                  <c:v>34</c:v>
                </c:pt>
                <c:pt idx="321">
                  <c:v>26</c:v>
                </c:pt>
                <c:pt idx="322">
                  <c:v>34</c:v>
                </c:pt>
                <c:pt idx="323">
                  <c:v>57</c:v>
                </c:pt>
                <c:pt idx="324">
                  <c:v>29</c:v>
                </c:pt>
                <c:pt idx="325">
                  <c:v>40</c:v>
                </c:pt>
                <c:pt idx="326">
                  <c:v>27</c:v>
                </c:pt>
                <c:pt idx="327">
                  <c:v>45</c:v>
                </c:pt>
                <c:pt idx="328">
                  <c:v>64</c:v>
                </c:pt>
                <c:pt idx="329">
                  <c:v>52</c:v>
                </c:pt>
                <c:pt idx="330">
                  <c:v>61</c:v>
                </c:pt>
                <c:pt idx="331">
                  <c:v>52</c:v>
                </c:pt>
                <c:pt idx="332">
                  <c:v>61</c:v>
                </c:pt>
                <c:pt idx="333">
                  <c:v>56</c:v>
                </c:pt>
                <c:pt idx="334">
                  <c:v>43</c:v>
                </c:pt>
                <c:pt idx="335">
                  <c:v>64</c:v>
                </c:pt>
                <c:pt idx="336">
                  <c:v>60</c:v>
                </c:pt>
                <c:pt idx="337">
                  <c:v>62</c:v>
                </c:pt>
                <c:pt idx="338">
                  <c:v>50</c:v>
                </c:pt>
                <c:pt idx="339">
                  <c:v>46</c:v>
                </c:pt>
                <c:pt idx="340">
                  <c:v>24</c:v>
                </c:pt>
                <c:pt idx="341">
                  <c:v>62</c:v>
                </c:pt>
                <c:pt idx="342">
                  <c:v>60</c:v>
                </c:pt>
                <c:pt idx="343">
                  <c:v>63</c:v>
                </c:pt>
                <c:pt idx="344">
                  <c:v>49</c:v>
                </c:pt>
                <c:pt idx="345">
                  <c:v>34</c:v>
                </c:pt>
                <c:pt idx="346">
                  <c:v>33</c:v>
                </c:pt>
                <c:pt idx="347">
                  <c:v>46</c:v>
                </c:pt>
                <c:pt idx="348">
                  <c:v>36</c:v>
                </c:pt>
                <c:pt idx="349">
                  <c:v>19</c:v>
                </c:pt>
                <c:pt idx="350">
                  <c:v>57</c:v>
                </c:pt>
                <c:pt idx="351">
                  <c:v>50</c:v>
                </c:pt>
                <c:pt idx="352">
                  <c:v>30</c:v>
                </c:pt>
                <c:pt idx="353">
                  <c:v>33</c:v>
                </c:pt>
                <c:pt idx="354">
                  <c:v>18</c:v>
                </c:pt>
                <c:pt idx="355">
                  <c:v>46</c:v>
                </c:pt>
                <c:pt idx="356">
                  <c:v>46</c:v>
                </c:pt>
                <c:pt idx="357">
                  <c:v>47</c:v>
                </c:pt>
                <c:pt idx="358">
                  <c:v>23</c:v>
                </c:pt>
                <c:pt idx="359">
                  <c:v>18</c:v>
                </c:pt>
                <c:pt idx="360">
                  <c:v>48</c:v>
                </c:pt>
                <c:pt idx="361">
                  <c:v>35</c:v>
                </c:pt>
                <c:pt idx="362">
                  <c:v>19</c:v>
                </c:pt>
                <c:pt idx="363">
                  <c:v>21</c:v>
                </c:pt>
                <c:pt idx="364">
                  <c:v>21</c:v>
                </c:pt>
                <c:pt idx="365">
                  <c:v>49</c:v>
                </c:pt>
                <c:pt idx="366">
                  <c:v>56</c:v>
                </c:pt>
                <c:pt idx="367">
                  <c:v>42</c:v>
                </c:pt>
                <c:pt idx="368">
                  <c:v>44</c:v>
                </c:pt>
                <c:pt idx="369">
                  <c:v>18</c:v>
                </c:pt>
                <c:pt idx="370">
                  <c:v>61</c:v>
                </c:pt>
                <c:pt idx="371">
                  <c:v>57</c:v>
                </c:pt>
                <c:pt idx="372">
                  <c:v>42</c:v>
                </c:pt>
                <c:pt idx="373">
                  <c:v>26</c:v>
                </c:pt>
                <c:pt idx="374">
                  <c:v>20</c:v>
                </c:pt>
                <c:pt idx="375">
                  <c:v>23</c:v>
                </c:pt>
                <c:pt idx="376">
                  <c:v>39</c:v>
                </c:pt>
                <c:pt idx="377">
                  <c:v>24</c:v>
                </c:pt>
                <c:pt idx="378">
                  <c:v>64</c:v>
                </c:pt>
                <c:pt idx="379">
                  <c:v>62</c:v>
                </c:pt>
                <c:pt idx="380">
                  <c:v>27</c:v>
                </c:pt>
                <c:pt idx="381">
                  <c:v>55</c:v>
                </c:pt>
                <c:pt idx="382">
                  <c:v>55</c:v>
                </c:pt>
                <c:pt idx="383">
                  <c:v>35</c:v>
                </c:pt>
                <c:pt idx="384">
                  <c:v>44</c:v>
                </c:pt>
                <c:pt idx="385">
                  <c:v>19</c:v>
                </c:pt>
                <c:pt idx="386">
                  <c:v>58</c:v>
                </c:pt>
                <c:pt idx="387">
                  <c:v>50</c:v>
                </c:pt>
                <c:pt idx="388">
                  <c:v>26</c:v>
                </c:pt>
                <c:pt idx="389">
                  <c:v>24</c:v>
                </c:pt>
                <c:pt idx="390">
                  <c:v>48</c:v>
                </c:pt>
                <c:pt idx="391">
                  <c:v>19</c:v>
                </c:pt>
                <c:pt idx="392">
                  <c:v>48</c:v>
                </c:pt>
                <c:pt idx="393">
                  <c:v>49</c:v>
                </c:pt>
                <c:pt idx="394">
                  <c:v>46</c:v>
                </c:pt>
                <c:pt idx="395">
                  <c:v>46</c:v>
                </c:pt>
                <c:pt idx="396">
                  <c:v>43</c:v>
                </c:pt>
                <c:pt idx="397">
                  <c:v>21</c:v>
                </c:pt>
                <c:pt idx="398">
                  <c:v>64</c:v>
                </c:pt>
                <c:pt idx="399">
                  <c:v>18</c:v>
                </c:pt>
                <c:pt idx="400">
                  <c:v>51</c:v>
                </c:pt>
                <c:pt idx="401">
                  <c:v>47</c:v>
                </c:pt>
                <c:pt idx="402">
                  <c:v>64</c:v>
                </c:pt>
                <c:pt idx="403">
                  <c:v>49</c:v>
                </c:pt>
                <c:pt idx="404">
                  <c:v>31</c:v>
                </c:pt>
                <c:pt idx="405">
                  <c:v>52</c:v>
                </c:pt>
                <c:pt idx="406">
                  <c:v>33</c:v>
                </c:pt>
                <c:pt idx="407">
                  <c:v>47</c:v>
                </c:pt>
                <c:pt idx="408">
                  <c:v>38</c:v>
                </c:pt>
                <c:pt idx="409">
                  <c:v>32</c:v>
                </c:pt>
                <c:pt idx="410">
                  <c:v>19</c:v>
                </c:pt>
                <c:pt idx="411">
                  <c:v>44</c:v>
                </c:pt>
                <c:pt idx="412">
                  <c:v>26</c:v>
                </c:pt>
                <c:pt idx="413">
                  <c:v>25</c:v>
                </c:pt>
                <c:pt idx="414">
                  <c:v>19</c:v>
                </c:pt>
                <c:pt idx="415">
                  <c:v>43</c:v>
                </c:pt>
                <c:pt idx="416">
                  <c:v>52</c:v>
                </c:pt>
                <c:pt idx="417">
                  <c:v>36</c:v>
                </c:pt>
                <c:pt idx="418">
                  <c:v>64</c:v>
                </c:pt>
                <c:pt idx="419">
                  <c:v>63</c:v>
                </c:pt>
                <c:pt idx="420">
                  <c:v>64</c:v>
                </c:pt>
                <c:pt idx="421">
                  <c:v>61</c:v>
                </c:pt>
                <c:pt idx="422">
                  <c:v>40</c:v>
                </c:pt>
                <c:pt idx="423">
                  <c:v>25</c:v>
                </c:pt>
                <c:pt idx="424">
                  <c:v>48</c:v>
                </c:pt>
                <c:pt idx="425">
                  <c:v>45</c:v>
                </c:pt>
                <c:pt idx="426">
                  <c:v>38</c:v>
                </c:pt>
                <c:pt idx="427">
                  <c:v>18</c:v>
                </c:pt>
                <c:pt idx="428">
                  <c:v>21</c:v>
                </c:pt>
                <c:pt idx="429">
                  <c:v>27</c:v>
                </c:pt>
                <c:pt idx="430">
                  <c:v>19</c:v>
                </c:pt>
                <c:pt idx="431">
                  <c:v>29</c:v>
                </c:pt>
                <c:pt idx="432">
                  <c:v>42</c:v>
                </c:pt>
                <c:pt idx="433">
                  <c:v>60</c:v>
                </c:pt>
                <c:pt idx="434">
                  <c:v>31</c:v>
                </c:pt>
                <c:pt idx="435">
                  <c:v>60</c:v>
                </c:pt>
                <c:pt idx="436">
                  <c:v>22</c:v>
                </c:pt>
                <c:pt idx="437">
                  <c:v>35</c:v>
                </c:pt>
                <c:pt idx="438">
                  <c:v>52</c:v>
                </c:pt>
                <c:pt idx="439">
                  <c:v>26</c:v>
                </c:pt>
                <c:pt idx="440">
                  <c:v>31</c:v>
                </c:pt>
                <c:pt idx="441">
                  <c:v>33</c:v>
                </c:pt>
                <c:pt idx="442">
                  <c:v>18</c:v>
                </c:pt>
                <c:pt idx="443">
                  <c:v>59</c:v>
                </c:pt>
                <c:pt idx="444">
                  <c:v>56</c:v>
                </c:pt>
                <c:pt idx="445">
                  <c:v>45</c:v>
                </c:pt>
                <c:pt idx="446">
                  <c:v>60</c:v>
                </c:pt>
                <c:pt idx="447">
                  <c:v>56</c:v>
                </c:pt>
                <c:pt idx="448">
                  <c:v>40</c:v>
                </c:pt>
                <c:pt idx="449">
                  <c:v>35</c:v>
                </c:pt>
                <c:pt idx="450">
                  <c:v>39</c:v>
                </c:pt>
                <c:pt idx="451">
                  <c:v>30</c:v>
                </c:pt>
                <c:pt idx="452">
                  <c:v>24</c:v>
                </c:pt>
                <c:pt idx="453">
                  <c:v>20</c:v>
                </c:pt>
                <c:pt idx="454">
                  <c:v>32</c:v>
                </c:pt>
                <c:pt idx="455">
                  <c:v>59</c:v>
                </c:pt>
                <c:pt idx="456">
                  <c:v>55</c:v>
                </c:pt>
                <c:pt idx="457">
                  <c:v>57</c:v>
                </c:pt>
                <c:pt idx="458">
                  <c:v>56</c:v>
                </c:pt>
                <c:pt idx="459">
                  <c:v>40</c:v>
                </c:pt>
                <c:pt idx="460">
                  <c:v>49</c:v>
                </c:pt>
                <c:pt idx="461">
                  <c:v>42</c:v>
                </c:pt>
                <c:pt idx="462">
                  <c:v>62</c:v>
                </c:pt>
                <c:pt idx="463">
                  <c:v>56</c:v>
                </c:pt>
                <c:pt idx="464">
                  <c:v>19</c:v>
                </c:pt>
                <c:pt idx="465">
                  <c:v>30</c:v>
                </c:pt>
                <c:pt idx="466">
                  <c:v>60</c:v>
                </c:pt>
                <c:pt idx="467">
                  <c:v>56</c:v>
                </c:pt>
                <c:pt idx="468">
                  <c:v>28</c:v>
                </c:pt>
                <c:pt idx="469">
                  <c:v>18</c:v>
                </c:pt>
                <c:pt idx="470">
                  <c:v>27</c:v>
                </c:pt>
                <c:pt idx="471">
                  <c:v>18</c:v>
                </c:pt>
                <c:pt idx="472">
                  <c:v>19</c:v>
                </c:pt>
                <c:pt idx="473">
                  <c:v>47</c:v>
                </c:pt>
                <c:pt idx="474">
                  <c:v>54</c:v>
                </c:pt>
                <c:pt idx="475">
                  <c:v>61</c:v>
                </c:pt>
                <c:pt idx="476">
                  <c:v>24</c:v>
                </c:pt>
                <c:pt idx="477">
                  <c:v>25</c:v>
                </c:pt>
                <c:pt idx="478">
                  <c:v>21</c:v>
                </c:pt>
                <c:pt idx="479">
                  <c:v>23</c:v>
                </c:pt>
                <c:pt idx="480">
                  <c:v>63</c:v>
                </c:pt>
                <c:pt idx="481">
                  <c:v>49</c:v>
                </c:pt>
                <c:pt idx="482">
                  <c:v>18</c:v>
                </c:pt>
                <c:pt idx="483">
                  <c:v>51</c:v>
                </c:pt>
                <c:pt idx="484">
                  <c:v>48</c:v>
                </c:pt>
                <c:pt idx="485">
                  <c:v>31</c:v>
                </c:pt>
                <c:pt idx="486">
                  <c:v>54</c:v>
                </c:pt>
                <c:pt idx="487">
                  <c:v>19</c:v>
                </c:pt>
                <c:pt idx="488">
                  <c:v>44</c:v>
                </c:pt>
                <c:pt idx="489">
                  <c:v>53</c:v>
                </c:pt>
                <c:pt idx="490">
                  <c:v>19</c:v>
                </c:pt>
                <c:pt idx="491">
                  <c:v>61</c:v>
                </c:pt>
                <c:pt idx="492">
                  <c:v>18</c:v>
                </c:pt>
                <c:pt idx="493">
                  <c:v>61</c:v>
                </c:pt>
                <c:pt idx="494">
                  <c:v>21</c:v>
                </c:pt>
                <c:pt idx="495">
                  <c:v>20</c:v>
                </c:pt>
                <c:pt idx="496">
                  <c:v>31</c:v>
                </c:pt>
                <c:pt idx="497">
                  <c:v>45</c:v>
                </c:pt>
                <c:pt idx="498">
                  <c:v>44</c:v>
                </c:pt>
                <c:pt idx="499">
                  <c:v>62</c:v>
                </c:pt>
                <c:pt idx="500">
                  <c:v>29</c:v>
                </c:pt>
                <c:pt idx="501">
                  <c:v>43</c:v>
                </c:pt>
                <c:pt idx="502">
                  <c:v>51</c:v>
                </c:pt>
                <c:pt idx="503">
                  <c:v>19</c:v>
                </c:pt>
                <c:pt idx="504">
                  <c:v>38</c:v>
                </c:pt>
                <c:pt idx="505">
                  <c:v>37</c:v>
                </c:pt>
                <c:pt idx="506">
                  <c:v>22</c:v>
                </c:pt>
                <c:pt idx="507">
                  <c:v>21</c:v>
                </c:pt>
                <c:pt idx="508">
                  <c:v>24</c:v>
                </c:pt>
                <c:pt idx="509">
                  <c:v>57</c:v>
                </c:pt>
                <c:pt idx="510">
                  <c:v>56</c:v>
                </c:pt>
                <c:pt idx="511">
                  <c:v>27</c:v>
                </c:pt>
                <c:pt idx="512">
                  <c:v>51</c:v>
                </c:pt>
                <c:pt idx="513">
                  <c:v>19</c:v>
                </c:pt>
                <c:pt idx="514">
                  <c:v>39</c:v>
                </c:pt>
                <c:pt idx="515">
                  <c:v>58</c:v>
                </c:pt>
                <c:pt idx="516">
                  <c:v>20</c:v>
                </c:pt>
                <c:pt idx="517">
                  <c:v>45</c:v>
                </c:pt>
                <c:pt idx="518">
                  <c:v>35</c:v>
                </c:pt>
                <c:pt idx="519">
                  <c:v>31</c:v>
                </c:pt>
                <c:pt idx="520">
                  <c:v>50</c:v>
                </c:pt>
                <c:pt idx="521">
                  <c:v>32</c:v>
                </c:pt>
                <c:pt idx="522">
                  <c:v>51</c:v>
                </c:pt>
                <c:pt idx="523">
                  <c:v>38</c:v>
                </c:pt>
                <c:pt idx="524">
                  <c:v>42</c:v>
                </c:pt>
                <c:pt idx="525">
                  <c:v>18</c:v>
                </c:pt>
                <c:pt idx="526">
                  <c:v>19</c:v>
                </c:pt>
                <c:pt idx="527">
                  <c:v>51</c:v>
                </c:pt>
                <c:pt idx="528">
                  <c:v>46</c:v>
                </c:pt>
                <c:pt idx="529">
                  <c:v>18</c:v>
                </c:pt>
                <c:pt idx="530">
                  <c:v>57</c:v>
                </c:pt>
                <c:pt idx="531">
                  <c:v>62</c:v>
                </c:pt>
                <c:pt idx="532">
                  <c:v>59</c:v>
                </c:pt>
                <c:pt idx="533">
                  <c:v>37</c:v>
                </c:pt>
                <c:pt idx="534">
                  <c:v>64</c:v>
                </c:pt>
                <c:pt idx="535">
                  <c:v>38</c:v>
                </c:pt>
                <c:pt idx="536">
                  <c:v>33</c:v>
                </c:pt>
                <c:pt idx="537">
                  <c:v>46</c:v>
                </c:pt>
                <c:pt idx="538">
                  <c:v>46</c:v>
                </c:pt>
                <c:pt idx="539">
                  <c:v>53</c:v>
                </c:pt>
                <c:pt idx="540">
                  <c:v>34</c:v>
                </c:pt>
                <c:pt idx="541">
                  <c:v>20</c:v>
                </c:pt>
                <c:pt idx="542">
                  <c:v>63</c:v>
                </c:pt>
                <c:pt idx="543">
                  <c:v>54</c:v>
                </c:pt>
                <c:pt idx="544">
                  <c:v>54</c:v>
                </c:pt>
                <c:pt idx="545">
                  <c:v>49</c:v>
                </c:pt>
                <c:pt idx="546">
                  <c:v>28</c:v>
                </c:pt>
                <c:pt idx="547">
                  <c:v>54</c:v>
                </c:pt>
                <c:pt idx="548">
                  <c:v>25</c:v>
                </c:pt>
                <c:pt idx="549">
                  <c:v>43</c:v>
                </c:pt>
                <c:pt idx="550">
                  <c:v>63</c:v>
                </c:pt>
                <c:pt idx="551">
                  <c:v>32</c:v>
                </c:pt>
                <c:pt idx="552">
                  <c:v>62</c:v>
                </c:pt>
                <c:pt idx="553">
                  <c:v>52</c:v>
                </c:pt>
                <c:pt idx="554">
                  <c:v>25</c:v>
                </c:pt>
                <c:pt idx="555">
                  <c:v>28</c:v>
                </c:pt>
                <c:pt idx="556">
                  <c:v>46</c:v>
                </c:pt>
                <c:pt idx="557">
                  <c:v>34</c:v>
                </c:pt>
                <c:pt idx="558">
                  <c:v>35</c:v>
                </c:pt>
                <c:pt idx="559">
                  <c:v>19</c:v>
                </c:pt>
                <c:pt idx="560">
                  <c:v>46</c:v>
                </c:pt>
                <c:pt idx="561">
                  <c:v>54</c:v>
                </c:pt>
                <c:pt idx="562">
                  <c:v>27</c:v>
                </c:pt>
                <c:pt idx="563">
                  <c:v>50</c:v>
                </c:pt>
                <c:pt idx="564">
                  <c:v>18</c:v>
                </c:pt>
                <c:pt idx="565">
                  <c:v>19</c:v>
                </c:pt>
                <c:pt idx="566">
                  <c:v>38</c:v>
                </c:pt>
                <c:pt idx="567">
                  <c:v>41</c:v>
                </c:pt>
                <c:pt idx="568">
                  <c:v>49</c:v>
                </c:pt>
                <c:pt idx="569">
                  <c:v>48</c:v>
                </c:pt>
                <c:pt idx="570">
                  <c:v>31</c:v>
                </c:pt>
                <c:pt idx="571">
                  <c:v>18</c:v>
                </c:pt>
                <c:pt idx="572">
                  <c:v>30</c:v>
                </c:pt>
                <c:pt idx="573">
                  <c:v>62</c:v>
                </c:pt>
                <c:pt idx="574">
                  <c:v>57</c:v>
                </c:pt>
                <c:pt idx="575">
                  <c:v>58</c:v>
                </c:pt>
                <c:pt idx="576">
                  <c:v>22</c:v>
                </c:pt>
                <c:pt idx="577">
                  <c:v>31</c:v>
                </c:pt>
                <c:pt idx="578">
                  <c:v>52</c:v>
                </c:pt>
                <c:pt idx="579">
                  <c:v>25</c:v>
                </c:pt>
                <c:pt idx="580">
                  <c:v>59</c:v>
                </c:pt>
                <c:pt idx="581">
                  <c:v>19</c:v>
                </c:pt>
                <c:pt idx="582">
                  <c:v>39</c:v>
                </c:pt>
                <c:pt idx="583">
                  <c:v>32</c:v>
                </c:pt>
                <c:pt idx="584">
                  <c:v>19</c:v>
                </c:pt>
                <c:pt idx="585">
                  <c:v>33</c:v>
                </c:pt>
                <c:pt idx="586">
                  <c:v>21</c:v>
                </c:pt>
                <c:pt idx="587">
                  <c:v>34</c:v>
                </c:pt>
                <c:pt idx="588">
                  <c:v>61</c:v>
                </c:pt>
                <c:pt idx="589">
                  <c:v>38</c:v>
                </c:pt>
                <c:pt idx="590">
                  <c:v>58</c:v>
                </c:pt>
                <c:pt idx="591">
                  <c:v>47</c:v>
                </c:pt>
                <c:pt idx="592">
                  <c:v>20</c:v>
                </c:pt>
                <c:pt idx="593">
                  <c:v>21</c:v>
                </c:pt>
                <c:pt idx="594">
                  <c:v>41</c:v>
                </c:pt>
                <c:pt idx="595">
                  <c:v>46</c:v>
                </c:pt>
                <c:pt idx="596">
                  <c:v>42</c:v>
                </c:pt>
                <c:pt idx="597">
                  <c:v>34</c:v>
                </c:pt>
                <c:pt idx="598">
                  <c:v>43</c:v>
                </c:pt>
                <c:pt idx="599">
                  <c:v>52</c:v>
                </c:pt>
                <c:pt idx="600">
                  <c:v>18</c:v>
                </c:pt>
                <c:pt idx="601">
                  <c:v>51</c:v>
                </c:pt>
                <c:pt idx="602">
                  <c:v>56</c:v>
                </c:pt>
                <c:pt idx="603">
                  <c:v>64</c:v>
                </c:pt>
                <c:pt idx="604">
                  <c:v>19</c:v>
                </c:pt>
                <c:pt idx="605">
                  <c:v>51</c:v>
                </c:pt>
                <c:pt idx="606">
                  <c:v>27</c:v>
                </c:pt>
                <c:pt idx="607">
                  <c:v>59</c:v>
                </c:pt>
                <c:pt idx="608">
                  <c:v>28</c:v>
                </c:pt>
                <c:pt idx="609">
                  <c:v>30</c:v>
                </c:pt>
                <c:pt idx="610">
                  <c:v>47</c:v>
                </c:pt>
                <c:pt idx="611">
                  <c:v>38</c:v>
                </c:pt>
                <c:pt idx="612">
                  <c:v>18</c:v>
                </c:pt>
                <c:pt idx="613">
                  <c:v>34</c:v>
                </c:pt>
                <c:pt idx="614">
                  <c:v>20</c:v>
                </c:pt>
                <c:pt idx="615">
                  <c:v>47</c:v>
                </c:pt>
                <c:pt idx="616">
                  <c:v>56</c:v>
                </c:pt>
                <c:pt idx="617">
                  <c:v>49</c:v>
                </c:pt>
                <c:pt idx="618">
                  <c:v>19</c:v>
                </c:pt>
                <c:pt idx="619">
                  <c:v>55</c:v>
                </c:pt>
                <c:pt idx="620">
                  <c:v>30</c:v>
                </c:pt>
                <c:pt idx="621">
                  <c:v>37</c:v>
                </c:pt>
                <c:pt idx="622">
                  <c:v>49</c:v>
                </c:pt>
                <c:pt idx="623">
                  <c:v>18</c:v>
                </c:pt>
                <c:pt idx="624">
                  <c:v>59</c:v>
                </c:pt>
                <c:pt idx="625">
                  <c:v>29</c:v>
                </c:pt>
                <c:pt idx="626">
                  <c:v>36</c:v>
                </c:pt>
                <c:pt idx="627">
                  <c:v>33</c:v>
                </c:pt>
                <c:pt idx="628">
                  <c:v>58</c:v>
                </c:pt>
                <c:pt idx="629">
                  <c:v>44</c:v>
                </c:pt>
                <c:pt idx="630">
                  <c:v>53</c:v>
                </c:pt>
                <c:pt idx="631">
                  <c:v>24</c:v>
                </c:pt>
                <c:pt idx="632">
                  <c:v>29</c:v>
                </c:pt>
                <c:pt idx="633">
                  <c:v>40</c:v>
                </c:pt>
                <c:pt idx="634">
                  <c:v>51</c:v>
                </c:pt>
                <c:pt idx="635">
                  <c:v>64</c:v>
                </c:pt>
                <c:pt idx="636">
                  <c:v>19</c:v>
                </c:pt>
                <c:pt idx="637">
                  <c:v>35</c:v>
                </c:pt>
                <c:pt idx="638">
                  <c:v>39</c:v>
                </c:pt>
                <c:pt idx="639">
                  <c:v>56</c:v>
                </c:pt>
                <c:pt idx="640">
                  <c:v>33</c:v>
                </c:pt>
                <c:pt idx="641">
                  <c:v>42</c:v>
                </c:pt>
                <c:pt idx="642">
                  <c:v>61</c:v>
                </c:pt>
                <c:pt idx="643">
                  <c:v>23</c:v>
                </c:pt>
                <c:pt idx="644">
                  <c:v>43</c:v>
                </c:pt>
                <c:pt idx="645">
                  <c:v>48</c:v>
                </c:pt>
                <c:pt idx="646">
                  <c:v>39</c:v>
                </c:pt>
                <c:pt idx="647">
                  <c:v>40</c:v>
                </c:pt>
                <c:pt idx="648">
                  <c:v>18</c:v>
                </c:pt>
                <c:pt idx="649">
                  <c:v>58</c:v>
                </c:pt>
                <c:pt idx="650">
                  <c:v>49</c:v>
                </c:pt>
                <c:pt idx="651">
                  <c:v>53</c:v>
                </c:pt>
                <c:pt idx="652">
                  <c:v>48</c:v>
                </c:pt>
                <c:pt idx="653">
                  <c:v>45</c:v>
                </c:pt>
                <c:pt idx="654">
                  <c:v>59</c:v>
                </c:pt>
                <c:pt idx="655">
                  <c:v>52</c:v>
                </c:pt>
                <c:pt idx="656">
                  <c:v>26</c:v>
                </c:pt>
                <c:pt idx="657">
                  <c:v>27</c:v>
                </c:pt>
                <c:pt idx="658">
                  <c:v>48</c:v>
                </c:pt>
                <c:pt idx="659">
                  <c:v>57</c:v>
                </c:pt>
                <c:pt idx="660">
                  <c:v>37</c:v>
                </c:pt>
                <c:pt idx="661">
                  <c:v>57</c:v>
                </c:pt>
                <c:pt idx="662">
                  <c:v>32</c:v>
                </c:pt>
                <c:pt idx="663">
                  <c:v>18</c:v>
                </c:pt>
                <c:pt idx="664">
                  <c:v>64</c:v>
                </c:pt>
                <c:pt idx="665">
                  <c:v>43</c:v>
                </c:pt>
                <c:pt idx="666">
                  <c:v>49</c:v>
                </c:pt>
                <c:pt idx="667">
                  <c:v>40</c:v>
                </c:pt>
                <c:pt idx="668">
                  <c:v>62</c:v>
                </c:pt>
                <c:pt idx="669">
                  <c:v>40</c:v>
                </c:pt>
                <c:pt idx="670">
                  <c:v>30</c:v>
                </c:pt>
                <c:pt idx="671">
                  <c:v>29</c:v>
                </c:pt>
                <c:pt idx="672">
                  <c:v>36</c:v>
                </c:pt>
                <c:pt idx="673">
                  <c:v>41</c:v>
                </c:pt>
                <c:pt idx="674">
                  <c:v>44</c:v>
                </c:pt>
                <c:pt idx="675">
                  <c:v>45</c:v>
                </c:pt>
                <c:pt idx="676">
                  <c:v>55</c:v>
                </c:pt>
                <c:pt idx="677">
                  <c:v>60</c:v>
                </c:pt>
                <c:pt idx="678">
                  <c:v>56</c:v>
                </c:pt>
                <c:pt idx="679">
                  <c:v>49</c:v>
                </c:pt>
                <c:pt idx="680">
                  <c:v>21</c:v>
                </c:pt>
                <c:pt idx="681">
                  <c:v>19</c:v>
                </c:pt>
                <c:pt idx="682">
                  <c:v>39</c:v>
                </c:pt>
                <c:pt idx="683">
                  <c:v>53</c:v>
                </c:pt>
                <c:pt idx="684">
                  <c:v>33</c:v>
                </c:pt>
                <c:pt idx="685">
                  <c:v>53</c:v>
                </c:pt>
                <c:pt idx="686">
                  <c:v>42</c:v>
                </c:pt>
                <c:pt idx="687">
                  <c:v>40</c:v>
                </c:pt>
                <c:pt idx="688">
                  <c:v>47</c:v>
                </c:pt>
                <c:pt idx="689">
                  <c:v>27</c:v>
                </c:pt>
                <c:pt idx="690">
                  <c:v>21</c:v>
                </c:pt>
                <c:pt idx="691">
                  <c:v>47</c:v>
                </c:pt>
                <c:pt idx="692">
                  <c:v>20</c:v>
                </c:pt>
                <c:pt idx="693">
                  <c:v>24</c:v>
                </c:pt>
                <c:pt idx="694">
                  <c:v>27</c:v>
                </c:pt>
                <c:pt idx="695">
                  <c:v>26</c:v>
                </c:pt>
                <c:pt idx="696">
                  <c:v>53</c:v>
                </c:pt>
                <c:pt idx="697">
                  <c:v>41</c:v>
                </c:pt>
                <c:pt idx="698">
                  <c:v>56</c:v>
                </c:pt>
                <c:pt idx="699">
                  <c:v>23</c:v>
                </c:pt>
                <c:pt idx="700">
                  <c:v>21</c:v>
                </c:pt>
                <c:pt idx="701">
                  <c:v>50</c:v>
                </c:pt>
                <c:pt idx="702">
                  <c:v>53</c:v>
                </c:pt>
                <c:pt idx="703">
                  <c:v>34</c:v>
                </c:pt>
                <c:pt idx="704">
                  <c:v>47</c:v>
                </c:pt>
                <c:pt idx="705">
                  <c:v>33</c:v>
                </c:pt>
                <c:pt idx="706">
                  <c:v>51</c:v>
                </c:pt>
                <c:pt idx="707">
                  <c:v>49</c:v>
                </c:pt>
                <c:pt idx="708">
                  <c:v>31</c:v>
                </c:pt>
                <c:pt idx="709">
                  <c:v>36</c:v>
                </c:pt>
                <c:pt idx="710">
                  <c:v>18</c:v>
                </c:pt>
                <c:pt idx="711">
                  <c:v>50</c:v>
                </c:pt>
                <c:pt idx="712">
                  <c:v>43</c:v>
                </c:pt>
                <c:pt idx="713">
                  <c:v>20</c:v>
                </c:pt>
                <c:pt idx="714">
                  <c:v>24</c:v>
                </c:pt>
                <c:pt idx="715">
                  <c:v>60</c:v>
                </c:pt>
                <c:pt idx="716">
                  <c:v>49</c:v>
                </c:pt>
                <c:pt idx="717">
                  <c:v>60</c:v>
                </c:pt>
                <c:pt idx="718">
                  <c:v>51</c:v>
                </c:pt>
                <c:pt idx="719">
                  <c:v>58</c:v>
                </c:pt>
                <c:pt idx="720">
                  <c:v>51</c:v>
                </c:pt>
                <c:pt idx="721">
                  <c:v>53</c:v>
                </c:pt>
                <c:pt idx="722">
                  <c:v>62</c:v>
                </c:pt>
                <c:pt idx="723">
                  <c:v>19</c:v>
                </c:pt>
                <c:pt idx="724">
                  <c:v>50</c:v>
                </c:pt>
                <c:pt idx="725">
                  <c:v>30</c:v>
                </c:pt>
                <c:pt idx="726">
                  <c:v>41</c:v>
                </c:pt>
                <c:pt idx="727">
                  <c:v>29</c:v>
                </c:pt>
                <c:pt idx="728">
                  <c:v>18</c:v>
                </c:pt>
                <c:pt idx="729">
                  <c:v>41</c:v>
                </c:pt>
                <c:pt idx="730">
                  <c:v>35</c:v>
                </c:pt>
                <c:pt idx="731">
                  <c:v>53</c:v>
                </c:pt>
                <c:pt idx="732">
                  <c:v>24</c:v>
                </c:pt>
                <c:pt idx="733">
                  <c:v>48</c:v>
                </c:pt>
                <c:pt idx="734">
                  <c:v>59</c:v>
                </c:pt>
                <c:pt idx="735">
                  <c:v>49</c:v>
                </c:pt>
                <c:pt idx="736">
                  <c:v>37</c:v>
                </c:pt>
                <c:pt idx="737">
                  <c:v>26</c:v>
                </c:pt>
                <c:pt idx="738">
                  <c:v>23</c:v>
                </c:pt>
                <c:pt idx="739">
                  <c:v>29</c:v>
                </c:pt>
                <c:pt idx="740">
                  <c:v>45</c:v>
                </c:pt>
                <c:pt idx="741">
                  <c:v>27</c:v>
                </c:pt>
                <c:pt idx="742">
                  <c:v>53</c:v>
                </c:pt>
                <c:pt idx="743">
                  <c:v>31</c:v>
                </c:pt>
                <c:pt idx="744">
                  <c:v>50</c:v>
                </c:pt>
                <c:pt idx="745">
                  <c:v>50</c:v>
                </c:pt>
                <c:pt idx="746">
                  <c:v>34</c:v>
                </c:pt>
                <c:pt idx="747">
                  <c:v>19</c:v>
                </c:pt>
                <c:pt idx="748">
                  <c:v>47</c:v>
                </c:pt>
                <c:pt idx="749">
                  <c:v>28</c:v>
                </c:pt>
                <c:pt idx="750">
                  <c:v>37</c:v>
                </c:pt>
                <c:pt idx="751">
                  <c:v>21</c:v>
                </c:pt>
                <c:pt idx="752">
                  <c:v>64</c:v>
                </c:pt>
                <c:pt idx="753">
                  <c:v>58</c:v>
                </c:pt>
                <c:pt idx="754">
                  <c:v>24</c:v>
                </c:pt>
                <c:pt idx="755">
                  <c:v>31</c:v>
                </c:pt>
                <c:pt idx="756">
                  <c:v>39</c:v>
                </c:pt>
                <c:pt idx="757">
                  <c:v>47</c:v>
                </c:pt>
                <c:pt idx="758">
                  <c:v>30</c:v>
                </c:pt>
                <c:pt idx="759">
                  <c:v>18</c:v>
                </c:pt>
                <c:pt idx="760">
                  <c:v>22</c:v>
                </c:pt>
                <c:pt idx="761">
                  <c:v>23</c:v>
                </c:pt>
                <c:pt idx="762">
                  <c:v>33</c:v>
                </c:pt>
                <c:pt idx="763">
                  <c:v>27</c:v>
                </c:pt>
                <c:pt idx="764">
                  <c:v>45</c:v>
                </c:pt>
                <c:pt idx="765">
                  <c:v>57</c:v>
                </c:pt>
                <c:pt idx="766">
                  <c:v>47</c:v>
                </c:pt>
                <c:pt idx="767">
                  <c:v>42</c:v>
                </c:pt>
                <c:pt idx="768">
                  <c:v>64</c:v>
                </c:pt>
                <c:pt idx="769">
                  <c:v>38</c:v>
                </c:pt>
                <c:pt idx="770">
                  <c:v>61</c:v>
                </c:pt>
                <c:pt idx="771">
                  <c:v>53</c:v>
                </c:pt>
                <c:pt idx="772">
                  <c:v>44</c:v>
                </c:pt>
                <c:pt idx="773">
                  <c:v>19</c:v>
                </c:pt>
                <c:pt idx="774">
                  <c:v>41</c:v>
                </c:pt>
                <c:pt idx="775">
                  <c:v>51</c:v>
                </c:pt>
                <c:pt idx="776">
                  <c:v>40</c:v>
                </c:pt>
                <c:pt idx="777">
                  <c:v>45</c:v>
                </c:pt>
                <c:pt idx="778">
                  <c:v>35</c:v>
                </c:pt>
                <c:pt idx="779">
                  <c:v>53</c:v>
                </c:pt>
                <c:pt idx="780">
                  <c:v>30</c:v>
                </c:pt>
                <c:pt idx="781">
                  <c:v>18</c:v>
                </c:pt>
                <c:pt idx="782">
                  <c:v>51</c:v>
                </c:pt>
                <c:pt idx="783">
                  <c:v>50</c:v>
                </c:pt>
                <c:pt idx="784">
                  <c:v>31</c:v>
                </c:pt>
                <c:pt idx="785">
                  <c:v>35</c:v>
                </c:pt>
                <c:pt idx="786">
                  <c:v>60</c:v>
                </c:pt>
                <c:pt idx="787">
                  <c:v>21</c:v>
                </c:pt>
                <c:pt idx="788">
                  <c:v>29</c:v>
                </c:pt>
                <c:pt idx="789">
                  <c:v>62</c:v>
                </c:pt>
                <c:pt idx="790">
                  <c:v>39</c:v>
                </c:pt>
                <c:pt idx="791">
                  <c:v>19</c:v>
                </c:pt>
                <c:pt idx="792">
                  <c:v>22</c:v>
                </c:pt>
                <c:pt idx="793">
                  <c:v>53</c:v>
                </c:pt>
                <c:pt idx="794">
                  <c:v>39</c:v>
                </c:pt>
                <c:pt idx="795">
                  <c:v>27</c:v>
                </c:pt>
                <c:pt idx="796">
                  <c:v>30</c:v>
                </c:pt>
                <c:pt idx="797">
                  <c:v>30</c:v>
                </c:pt>
                <c:pt idx="798">
                  <c:v>58</c:v>
                </c:pt>
                <c:pt idx="799">
                  <c:v>33</c:v>
                </c:pt>
                <c:pt idx="800">
                  <c:v>42</c:v>
                </c:pt>
                <c:pt idx="801">
                  <c:v>64</c:v>
                </c:pt>
                <c:pt idx="802">
                  <c:v>21</c:v>
                </c:pt>
                <c:pt idx="803">
                  <c:v>18</c:v>
                </c:pt>
                <c:pt idx="804">
                  <c:v>23</c:v>
                </c:pt>
                <c:pt idx="805">
                  <c:v>45</c:v>
                </c:pt>
                <c:pt idx="806">
                  <c:v>40</c:v>
                </c:pt>
                <c:pt idx="807">
                  <c:v>19</c:v>
                </c:pt>
                <c:pt idx="808">
                  <c:v>18</c:v>
                </c:pt>
                <c:pt idx="809">
                  <c:v>25</c:v>
                </c:pt>
                <c:pt idx="810">
                  <c:v>46</c:v>
                </c:pt>
                <c:pt idx="811">
                  <c:v>33</c:v>
                </c:pt>
                <c:pt idx="812">
                  <c:v>54</c:v>
                </c:pt>
                <c:pt idx="813">
                  <c:v>28</c:v>
                </c:pt>
                <c:pt idx="814">
                  <c:v>36</c:v>
                </c:pt>
                <c:pt idx="815">
                  <c:v>20</c:v>
                </c:pt>
                <c:pt idx="816">
                  <c:v>24</c:v>
                </c:pt>
                <c:pt idx="817">
                  <c:v>23</c:v>
                </c:pt>
                <c:pt idx="818">
                  <c:v>47</c:v>
                </c:pt>
                <c:pt idx="819">
                  <c:v>33</c:v>
                </c:pt>
                <c:pt idx="820">
                  <c:v>45</c:v>
                </c:pt>
                <c:pt idx="821">
                  <c:v>26</c:v>
                </c:pt>
                <c:pt idx="822">
                  <c:v>18</c:v>
                </c:pt>
                <c:pt idx="823">
                  <c:v>44</c:v>
                </c:pt>
                <c:pt idx="824">
                  <c:v>60</c:v>
                </c:pt>
                <c:pt idx="825">
                  <c:v>64</c:v>
                </c:pt>
                <c:pt idx="826">
                  <c:v>56</c:v>
                </c:pt>
                <c:pt idx="827">
                  <c:v>36</c:v>
                </c:pt>
                <c:pt idx="828">
                  <c:v>41</c:v>
                </c:pt>
                <c:pt idx="829">
                  <c:v>39</c:v>
                </c:pt>
                <c:pt idx="830">
                  <c:v>63</c:v>
                </c:pt>
                <c:pt idx="831">
                  <c:v>36</c:v>
                </c:pt>
                <c:pt idx="832">
                  <c:v>28</c:v>
                </c:pt>
                <c:pt idx="833">
                  <c:v>58</c:v>
                </c:pt>
                <c:pt idx="834">
                  <c:v>36</c:v>
                </c:pt>
                <c:pt idx="835">
                  <c:v>42</c:v>
                </c:pt>
                <c:pt idx="836">
                  <c:v>36</c:v>
                </c:pt>
                <c:pt idx="837">
                  <c:v>56</c:v>
                </c:pt>
                <c:pt idx="838">
                  <c:v>35</c:v>
                </c:pt>
                <c:pt idx="839">
                  <c:v>59</c:v>
                </c:pt>
                <c:pt idx="840">
                  <c:v>21</c:v>
                </c:pt>
                <c:pt idx="841">
                  <c:v>59</c:v>
                </c:pt>
                <c:pt idx="842">
                  <c:v>23</c:v>
                </c:pt>
                <c:pt idx="843">
                  <c:v>57</c:v>
                </c:pt>
                <c:pt idx="844">
                  <c:v>53</c:v>
                </c:pt>
                <c:pt idx="845">
                  <c:v>60</c:v>
                </c:pt>
                <c:pt idx="846">
                  <c:v>51</c:v>
                </c:pt>
                <c:pt idx="847">
                  <c:v>23</c:v>
                </c:pt>
                <c:pt idx="848">
                  <c:v>27</c:v>
                </c:pt>
                <c:pt idx="849">
                  <c:v>55</c:v>
                </c:pt>
                <c:pt idx="850">
                  <c:v>37</c:v>
                </c:pt>
                <c:pt idx="851">
                  <c:v>61</c:v>
                </c:pt>
                <c:pt idx="852">
                  <c:v>46</c:v>
                </c:pt>
                <c:pt idx="853">
                  <c:v>53</c:v>
                </c:pt>
                <c:pt idx="854">
                  <c:v>49</c:v>
                </c:pt>
                <c:pt idx="855">
                  <c:v>20</c:v>
                </c:pt>
                <c:pt idx="856">
                  <c:v>48</c:v>
                </c:pt>
                <c:pt idx="857">
                  <c:v>25</c:v>
                </c:pt>
                <c:pt idx="858">
                  <c:v>25</c:v>
                </c:pt>
                <c:pt idx="859">
                  <c:v>57</c:v>
                </c:pt>
                <c:pt idx="860">
                  <c:v>37</c:v>
                </c:pt>
                <c:pt idx="861">
                  <c:v>38</c:v>
                </c:pt>
                <c:pt idx="862">
                  <c:v>55</c:v>
                </c:pt>
                <c:pt idx="863">
                  <c:v>36</c:v>
                </c:pt>
                <c:pt idx="864">
                  <c:v>51</c:v>
                </c:pt>
                <c:pt idx="865">
                  <c:v>40</c:v>
                </c:pt>
                <c:pt idx="866">
                  <c:v>18</c:v>
                </c:pt>
                <c:pt idx="867">
                  <c:v>57</c:v>
                </c:pt>
                <c:pt idx="868">
                  <c:v>61</c:v>
                </c:pt>
                <c:pt idx="869">
                  <c:v>25</c:v>
                </c:pt>
                <c:pt idx="870">
                  <c:v>50</c:v>
                </c:pt>
                <c:pt idx="871">
                  <c:v>26</c:v>
                </c:pt>
                <c:pt idx="872">
                  <c:v>42</c:v>
                </c:pt>
                <c:pt idx="873">
                  <c:v>43</c:v>
                </c:pt>
                <c:pt idx="874">
                  <c:v>44</c:v>
                </c:pt>
                <c:pt idx="875">
                  <c:v>23</c:v>
                </c:pt>
                <c:pt idx="876">
                  <c:v>49</c:v>
                </c:pt>
                <c:pt idx="877">
                  <c:v>33</c:v>
                </c:pt>
                <c:pt idx="878">
                  <c:v>41</c:v>
                </c:pt>
                <c:pt idx="879">
                  <c:v>37</c:v>
                </c:pt>
                <c:pt idx="880">
                  <c:v>22</c:v>
                </c:pt>
                <c:pt idx="881">
                  <c:v>23</c:v>
                </c:pt>
                <c:pt idx="882">
                  <c:v>21</c:v>
                </c:pt>
                <c:pt idx="883">
                  <c:v>51</c:v>
                </c:pt>
                <c:pt idx="884">
                  <c:v>25</c:v>
                </c:pt>
                <c:pt idx="885">
                  <c:v>32</c:v>
                </c:pt>
                <c:pt idx="886">
                  <c:v>57</c:v>
                </c:pt>
                <c:pt idx="887">
                  <c:v>36</c:v>
                </c:pt>
                <c:pt idx="888">
                  <c:v>22</c:v>
                </c:pt>
                <c:pt idx="889">
                  <c:v>57</c:v>
                </c:pt>
                <c:pt idx="890">
                  <c:v>64</c:v>
                </c:pt>
                <c:pt idx="891">
                  <c:v>36</c:v>
                </c:pt>
                <c:pt idx="892">
                  <c:v>54</c:v>
                </c:pt>
                <c:pt idx="893">
                  <c:v>47</c:v>
                </c:pt>
                <c:pt idx="894">
                  <c:v>62</c:v>
                </c:pt>
                <c:pt idx="895">
                  <c:v>61</c:v>
                </c:pt>
                <c:pt idx="896">
                  <c:v>43</c:v>
                </c:pt>
                <c:pt idx="897">
                  <c:v>19</c:v>
                </c:pt>
                <c:pt idx="898">
                  <c:v>18</c:v>
                </c:pt>
                <c:pt idx="899">
                  <c:v>19</c:v>
                </c:pt>
                <c:pt idx="900">
                  <c:v>49</c:v>
                </c:pt>
                <c:pt idx="901">
                  <c:v>60</c:v>
                </c:pt>
                <c:pt idx="902">
                  <c:v>26</c:v>
                </c:pt>
                <c:pt idx="903">
                  <c:v>49</c:v>
                </c:pt>
                <c:pt idx="904">
                  <c:v>60</c:v>
                </c:pt>
                <c:pt idx="905">
                  <c:v>26</c:v>
                </c:pt>
                <c:pt idx="906">
                  <c:v>27</c:v>
                </c:pt>
                <c:pt idx="907">
                  <c:v>44</c:v>
                </c:pt>
                <c:pt idx="908">
                  <c:v>63</c:v>
                </c:pt>
                <c:pt idx="909">
                  <c:v>32</c:v>
                </c:pt>
                <c:pt idx="910">
                  <c:v>22</c:v>
                </c:pt>
                <c:pt idx="911">
                  <c:v>18</c:v>
                </c:pt>
                <c:pt idx="912">
                  <c:v>59</c:v>
                </c:pt>
                <c:pt idx="913">
                  <c:v>44</c:v>
                </c:pt>
                <c:pt idx="914">
                  <c:v>33</c:v>
                </c:pt>
                <c:pt idx="915">
                  <c:v>24</c:v>
                </c:pt>
                <c:pt idx="916">
                  <c:v>43</c:v>
                </c:pt>
                <c:pt idx="917">
                  <c:v>45</c:v>
                </c:pt>
                <c:pt idx="918">
                  <c:v>61</c:v>
                </c:pt>
                <c:pt idx="919">
                  <c:v>35</c:v>
                </c:pt>
                <c:pt idx="920">
                  <c:v>62</c:v>
                </c:pt>
                <c:pt idx="921">
                  <c:v>62</c:v>
                </c:pt>
                <c:pt idx="922">
                  <c:v>38</c:v>
                </c:pt>
                <c:pt idx="923">
                  <c:v>34</c:v>
                </c:pt>
                <c:pt idx="924">
                  <c:v>43</c:v>
                </c:pt>
                <c:pt idx="925">
                  <c:v>50</c:v>
                </c:pt>
                <c:pt idx="926">
                  <c:v>19</c:v>
                </c:pt>
                <c:pt idx="927">
                  <c:v>57</c:v>
                </c:pt>
                <c:pt idx="928">
                  <c:v>62</c:v>
                </c:pt>
                <c:pt idx="929">
                  <c:v>41</c:v>
                </c:pt>
                <c:pt idx="930">
                  <c:v>26</c:v>
                </c:pt>
                <c:pt idx="931">
                  <c:v>39</c:v>
                </c:pt>
                <c:pt idx="932">
                  <c:v>46</c:v>
                </c:pt>
                <c:pt idx="933">
                  <c:v>45</c:v>
                </c:pt>
                <c:pt idx="934">
                  <c:v>32</c:v>
                </c:pt>
                <c:pt idx="935">
                  <c:v>59</c:v>
                </c:pt>
                <c:pt idx="936">
                  <c:v>44</c:v>
                </c:pt>
                <c:pt idx="937">
                  <c:v>39</c:v>
                </c:pt>
                <c:pt idx="938">
                  <c:v>18</c:v>
                </c:pt>
                <c:pt idx="939">
                  <c:v>53</c:v>
                </c:pt>
                <c:pt idx="940">
                  <c:v>18</c:v>
                </c:pt>
                <c:pt idx="941">
                  <c:v>50</c:v>
                </c:pt>
                <c:pt idx="942">
                  <c:v>18</c:v>
                </c:pt>
                <c:pt idx="943">
                  <c:v>19</c:v>
                </c:pt>
                <c:pt idx="944">
                  <c:v>62</c:v>
                </c:pt>
                <c:pt idx="945">
                  <c:v>56</c:v>
                </c:pt>
                <c:pt idx="946">
                  <c:v>42</c:v>
                </c:pt>
                <c:pt idx="947">
                  <c:v>37</c:v>
                </c:pt>
                <c:pt idx="948">
                  <c:v>42</c:v>
                </c:pt>
                <c:pt idx="949">
                  <c:v>25</c:v>
                </c:pt>
                <c:pt idx="950">
                  <c:v>57</c:v>
                </c:pt>
                <c:pt idx="951">
                  <c:v>51</c:v>
                </c:pt>
                <c:pt idx="952">
                  <c:v>30</c:v>
                </c:pt>
                <c:pt idx="953">
                  <c:v>44</c:v>
                </c:pt>
                <c:pt idx="954">
                  <c:v>34</c:v>
                </c:pt>
                <c:pt idx="955">
                  <c:v>31</c:v>
                </c:pt>
                <c:pt idx="956">
                  <c:v>54</c:v>
                </c:pt>
                <c:pt idx="957">
                  <c:v>24</c:v>
                </c:pt>
                <c:pt idx="958">
                  <c:v>43</c:v>
                </c:pt>
                <c:pt idx="959">
                  <c:v>48</c:v>
                </c:pt>
                <c:pt idx="960">
                  <c:v>19</c:v>
                </c:pt>
                <c:pt idx="961">
                  <c:v>29</c:v>
                </c:pt>
                <c:pt idx="962">
                  <c:v>63</c:v>
                </c:pt>
                <c:pt idx="963">
                  <c:v>46</c:v>
                </c:pt>
                <c:pt idx="964">
                  <c:v>52</c:v>
                </c:pt>
                <c:pt idx="965">
                  <c:v>35</c:v>
                </c:pt>
                <c:pt idx="966">
                  <c:v>51</c:v>
                </c:pt>
                <c:pt idx="967">
                  <c:v>44</c:v>
                </c:pt>
                <c:pt idx="968">
                  <c:v>21</c:v>
                </c:pt>
                <c:pt idx="969">
                  <c:v>39</c:v>
                </c:pt>
                <c:pt idx="970">
                  <c:v>50</c:v>
                </c:pt>
                <c:pt idx="971">
                  <c:v>34</c:v>
                </c:pt>
                <c:pt idx="972">
                  <c:v>22</c:v>
                </c:pt>
                <c:pt idx="973">
                  <c:v>19</c:v>
                </c:pt>
                <c:pt idx="974">
                  <c:v>26</c:v>
                </c:pt>
                <c:pt idx="975">
                  <c:v>29</c:v>
                </c:pt>
                <c:pt idx="976">
                  <c:v>48</c:v>
                </c:pt>
                <c:pt idx="977">
                  <c:v>26</c:v>
                </c:pt>
                <c:pt idx="978">
                  <c:v>45</c:v>
                </c:pt>
                <c:pt idx="979">
                  <c:v>36</c:v>
                </c:pt>
                <c:pt idx="980">
                  <c:v>54</c:v>
                </c:pt>
                <c:pt idx="981">
                  <c:v>34</c:v>
                </c:pt>
                <c:pt idx="982">
                  <c:v>31</c:v>
                </c:pt>
                <c:pt idx="983">
                  <c:v>27</c:v>
                </c:pt>
                <c:pt idx="984">
                  <c:v>20</c:v>
                </c:pt>
                <c:pt idx="985">
                  <c:v>44</c:v>
                </c:pt>
                <c:pt idx="986">
                  <c:v>43</c:v>
                </c:pt>
                <c:pt idx="987">
                  <c:v>45</c:v>
                </c:pt>
                <c:pt idx="988">
                  <c:v>34</c:v>
                </c:pt>
                <c:pt idx="989">
                  <c:v>24</c:v>
                </c:pt>
                <c:pt idx="990">
                  <c:v>26</c:v>
                </c:pt>
                <c:pt idx="991">
                  <c:v>38</c:v>
                </c:pt>
                <c:pt idx="992">
                  <c:v>50</c:v>
                </c:pt>
                <c:pt idx="993">
                  <c:v>38</c:v>
                </c:pt>
                <c:pt idx="994">
                  <c:v>27</c:v>
                </c:pt>
                <c:pt idx="995">
                  <c:v>39</c:v>
                </c:pt>
                <c:pt idx="996">
                  <c:v>39</c:v>
                </c:pt>
                <c:pt idx="997">
                  <c:v>63</c:v>
                </c:pt>
                <c:pt idx="998">
                  <c:v>33</c:v>
                </c:pt>
                <c:pt idx="999">
                  <c:v>36</c:v>
                </c:pt>
                <c:pt idx="1000">
                  <c:v>30</c:v>
                </c:pt>
                <c:pt idx="1001">
                  <c:v>24</c:v>
                </c:pt>
                <c:pt idx="1002">
                  <c:v>24</c:v>
                </c:pt>
                <c:pt idx="1003">
                  <c:v>48</c:v>
                </c:pt>
                <c:pt idx="1004">
                  <c:v>47</c:v>
                </c:pt>
                <c:pt idx="1005">
                  <c:v>29</c:v>
                </c:pt>
                <c:pt idx="1006">
                  <c:v>28</c:v>
                </c:pt>
                <c:pt idx="1007">
                  <c:v>47</c:v>
                </c:pt>
                <c:pt idx="1008">
                  <c:v>25</c:v>
                </c:pt>
                <c:pt idx="1009">
                  <c:v>51</c:v>
                </c:pt>
                <c:pt idx="1010">
                  <c:v>48</c:v>
                </c:pt>
                <c:pt idx="1011">
                  <c:v>43</c:v>
                </c:pt>
                <c:pt idx="1012">
                  <c:v>61</c:v>
                </c:pt>
                <c:pt idx="1013">
                  <c:v>48</c:v>
                </c:pt>
                <c:pt idx="1014">
                  <c:v>38</c:v>
                </c:pt>
                <c:pt idx="1015">
                  <c:v>59</c:v>
                </c:pt>
                <c:pt idx="1016">
                  <c:v>19</c:v>
                </c:pt>
                <c:pt idx="1017">
                  <c:v>26</c:v>
                </c:pt>
                <c:pt idx="1018">
                  <c:v>54</c:v>
                </c:pt>
                <c:pt idx="1019">
                  <c:v>21</c:v>
                </c:pt>
                <c:pt idx="1020">
                  <c:v>51</c:v>
                </c:pt>
                <c:pt idx="1021">
                  <c:v>22</c:v>
                </c:pt>
                <c:pt idx="1022">
                  <c:v>47</c:v>
                </c:pt>
                <c:pt idx="1023">
                  <c:v>18</c:v>
                </c:pt>
                <c:pt idx="1024">
                  <c:v>47</c:v>
                </c:pt>
                <c:pt idx="1025">
                  <c:v>21</c:v>
                </c:pt>
                <c:pt idx="1026">
                  <c:v>19</c:v>
                </c:pt>
                <c:pt idx="1027">
                  <c:v>23</c:v>
                </c:pt>
                <c:pt idx="1028">
                  <c:v>54</c:v>
                </c:pt>
                <c:pt idx="1029">
                  <c:v>37</c:v>
                </c:pt>
                <c:pt idx="1030">
                  <c:v>46</c:v>
                </c:pt>
                <c:pt idx="1031">
                  <c:v>55</c:v>
                </c:pt>
                <c:pt idx="1032">
                  <c:v>30</c:v>
                </c:pt>
                <c:pt idx="1033">
                  <c:v>18</c:v>
                </c:pt>
                <c:pt idx="1034">
                  <c:v>61</c:v>
                </c:pt>
                <c:pt idx="1035">
                  <c:v>54</c:v>
                </c:pt>
                <c:pt idx="1036">
                  <c:v>22</c:v>
                </c:pt>
                <c:pt idx="1037">
                  <c:v>45</c:v>
                </c:pt>
                <c:pt idx="1038">
                  <c:v>22</c:v>
                </c:pt>
                <c:pt idx="1039">
                  <c:v>19</c:v>
                </c:pt>
                <c:pt idx="1040">
                  <c:v>35</c:v>
                </c:pt>
                <c:pt idx="1041">
                  <c:v>18</c:v>
                </c:pt>
                <c:pt idx="1042">
                  <c:v>20</c:v>
                </c:pt>
                <c:pt idx="1043">
                  <c:v>28</c:v>
                </c:pt>
                <c:pt idx="1044">
                  <c:v>55</c:v>
                </c:pt>
                <c:pt idx="1045">
                  <c:v>43</c:v>
                </c:pt>
                <c:pt idx="1046">
                  <c:v>43</c:v>
                </c:pt>
                <c:pt idx="1047">
                  <c:v>22</c:v>
                </c:pt>
                <c:pt idx="1048">
                  <c:v>25</c:v>
                </c:pt>
                <c:pt idx="1049">
                  <c:v>49</c:v>
                </c:pt>
                <c:pt idx="1050">
                  <c:v>44</c:v>
                </c:pt>
                <c:pt idx="1051">
                  <c:v>64</c:v>
                </c:pt>
                <c:pt idx="1052">
                  <c:v>49</c:v>
                </c:pt>
                <c:pt idx="1053">
                  <c:v>47</c:v>
                </c:pt>
                <c:pt idx="1054">
                  <c:v>27</c:v>
                </c:pt>
                <c:pt idx="1055">
                  <c:v>55</c:v>
                </c:pt>
                <c:pt idx="1056">
                  <c:v>48</c:v>
                </c:pt>
                <c:pt idx="1057">
                  <c:v>45</c:v>
                </c:pt>
                <c:pt idx="1058">
                  <c:v>24</c:v>
                </c:pt>
                <c:pt idx="1059">
                  <c:v>32</c:v>
                </c:pt>
                <c:pt idx="1060">
                  <c:v>24</c:v>
                </c:pt>
                <c:pt idx="1061">
                  <c:v>57</c:v>
                </c:pt>
                <c:pt idx="1062">
                  <c:v>59</c:v>
                </c:pt>
                <c:pt idx="1063">
                  <c:v>36</c:v>
                </c:pt>
                <c:pt idx="1064">
                  <c:v>29</c:v>
                </c:pt>
                <c:pt idx="1065">
                  <c:v>42</c:v>
                </c:pt>
                <c:pt idx="1066">
                  <c:v>48</c:v>
                </c:pt>
                <c:pt idx="1067">
                  <c:v>39</c:v>
                </c:pt>
                <c:pt idx="1068">
                  <c:v>63</c:v>
                </c:pt>
                <c:pt idx="1069">
                  <c:v>54</c:v>
                </c:pt>
                <c:pt idx="1070">
                  <c:v>37</c:v>
                </c:pt>
                <c:pt idx="1071">
                  <c:v>63</c:v>
                </c:pt>
                <c:pt idx="1072">
                  <c:v>21</c:v>
                </c:pt>
                <c:pt idx="1073">
                  <c:v>54</c:v>
                </c:pt>
                <c:pt idx="1074">
                  <c:v>60</c:v>
                </c:pt>
                <c:pt idx="1075">
                  <c:v>32</c:v>
                </c:pt>
                <c:pt idx="1076">
                  <c:v>47</c:v>
                </c:pt>
                <c:pt idx="1077">
                  <c:v>21</c:v>
                </c:pt>
                <c:pt idx="1078">
                  <c:v>28</c:v>
                </c:pt>
                <c:pt idx="1079">
                  <c:v>63</c:v>
                </c:pt>
                <c:pt idx="1080">
                  <c:v>18</c:v>
                </c:pt>
                <c:pt idx="1081">
                  <c:v>32</c:v>
                </c:pt>
                <c:pt idx="1082">
                  <c:v>38</c:v>
                </c:pt>
                <c:pt idx="1083">
                  <c:v>32</c:v>
                </c:pt>
                <c:pt idx="1084">
                  <c:v>62</c:v>
                </c:pt>
                <c:pt idx="1085">
                  <c:v>39</c:v>
                </c:pt>
                <c:pt idx="1086">
                  <c:v>55</c:v>
                </c:pt>
                <c:pt idx="1087">
                  <c:v>57</c:v>
                </c:pt>
                <c:pt idx="1088">
                  <c:v>52</c:v>
                </c:pt>
                <c:pt idx="1089">
                  <c:v>56</c:v>
                </c:pt>
                <c:pt idx="1090">
                  <c:v>47</c:v>
                </c:pt>
                <c:pt idx="1091">
                  <c:v>55</c:v>
                </c:pt>
                <c:pt idx="1092">
                  <c:v>23</c:v>
                </c:pt>
                <c:pt idx="1093">
                  <c:v>22</c:v>
                </c:pt>
                <c:pt idx="1094">
                  <c:v>50</c:v>
                </c:pt>
                <c:pt idx="1095">
                  <c:v>18</c:v>
                </c:pt>
                <c:pt idx="1096">
                  <c:v>51</c:v>
                </c:pt>
                <c:pt idx="1097">
                  <c:v>22</c:v>
                </c:pt>
                <c:pt idx="1098">
                  <c:v>52</c:v>
                </c:pt>
                <c:pt idx="1099">
                  <c:v>25</c:v>
                </c:pt>
                <c:pt idx="1100">
                  <c:v>33</c:v>
                </c:pt>
                <c:pt idx="1101">
                  <c:v>53</c:v>
                </c:pt>
                <c:pt idx="1102">
                  <c:v>29</c:v>
                </c:pt>
                <c:pt idx="1103">
                  <c:v>58</c:v>
                </c:pt>
                <c:pt idx="1104">
                  <c:v>37</c:v>
                </c:pt>
                <c:pt idx="1105">
                  <c:v>54</c:v>
                </c:pt>
                <c:pt idx="1106">
                  <c:v>49</c:v>
                </c:pt>
                <c:pt idx="1107">
                  <c:v>50</c:v>
                </c:pt>
                <c:pt idx="1108">
                  <c:v>26</c:v>
                </c:pt>
                <c:pt idx="1109">
                  <c:v>45</c:v>
                </c:pt>
                <c:pt idx="1110">
                  <c:v>54</c:v>
                </c:pt>
                <c:pt idx="1111">
                  <c:v>38</c:v>
                </c:pt>
                <c:pt idx="1112">
                  <c:v>48</c:v>
                </c:pt>
                <c:pt idx="1113">
                  <c:v>28</c:v>
                </c:pt>
                <c:pt idx="1114">
                  <c:v>23</c:v>
                </c:pt>
                <c:pt idx="1115">
                  <c:v>55</c:v>
                </c:pt>
                <c:pt idx="1116">
                  <c:v>41</c:v>
                </c:pt>
                <c:pt idx="1117">
                  <c:v>25</c:v>
                </c:pt>
                <c:pt idx="1118">
                  <c:v>33</c:v>
                </c:pt>
                <c:pt idx="1119">
                  <c:v>30</c:v>
                </c:pt>
                <c:pt idx="1120">
                  <c:v>23</c:v>
                </c:pt>
                <c:pt idx="1121">
                  <c:v>46</c:v>
                </c:pt>
                <c:pt idx="1122">
                  <c:v>53</c:v>
                </c:pt>
                <c:pt idx="1123">
                  <c:v>27</c:v>
                </c:pt>
                <c:pt idx="1124">
                  <c:v>23</c:v>
                </c:pt>
                <c:pt idx="1125">
                  <c:v>63</c:v>
                </c:pt>
                <c:pt idx="1126">
                  <c:v>55</c:v>
                </c:pt>
                <c:pt idx="1127">
                  <c:v>35</c:v>
                </c:pt>
                <c:pt idx="1128">
                  <c:v>34</c:v>
                </c:pt>
                <c:pt idx="1129">
                  <c:v>19</c:v>
                </c:pt>
                <c:pt idx="1130">
                  <c:v>39</c:v>
                </c:pt>
                <c:pt idx="1131">
                  <c:v>27</c:v>
                </c:pt>
                <c:pt idx="1132">
                  <c:v>57</c:v>
                </c:pt>
                <c:pt idx="1133">
                  <c:v>52</c:v>
                </c:pt>
                <c:pt idx="1134">
                  <c:v>28</c:v>
                </c:pt>
                <c:pt idx="1135">
                  <c:v>50</c:v>
                </c:pt>
                <c:pt idx="1136">
                  <c:v>44</c:v>
                </c:pt>
                <c:pt idx="1137">
                  <c:v>26</c:v>
                </c:pt>
                <c:pt idx="1138">
                  <c:v>33</c:v>
                </c:pt>
                <c:pt idx="1139">
                  <c:v>19</c:v>
                </c:pt>
                <c:pt idx="1140">
                  <c:v>50</c:v>
                </c:pt>
                <c:pt idx="1141">
                  <c:v>41</c:v>
                </c:pt>
                <c:pt idx="1142">
                  <c:v>52</c:v>
                </c:pt>
                <c:pt idx="1143">
                  <c:v>39</c:v>
                </c:pt>
                <c:pt idx="1144">
                  <c:v>50</c:v>
                </c:pt>
                <c:pt idx="1145">
                  <c:v>52</c:v>
                </c:pt>
                <c:pt idx="1146">
                  <c:v>60</c:v>
                </c:pt>
                <c:pt idx="1147">
                  <c:v>20</c:v>
                </c:pt>
                <c:pt idx="1148">
                  <c:v>55</c:v>
                </c:pt>
                <c:pt idx="1149">
                  <c:v>42</c:v>
                </c:pt>
                <c:pt idx="1150">
                  <c:v>18</c:v>
                </c:pt>
                <c:pt idx="1151">
                  <c:v>58</c:v>
                </c:pt>
                <c:pt idx="1152">
                  <c:v>43</c:v>
                </c:pt>
                <c:pt idx="1153">
                  <c:v>35</c:v>
                </c:pt>
                <c:pt idx="1154">
                  <c:v>48</c:v>
                </c:pt>
                <c:pt idx="1155">
                  <c:v>36</c:v>
                </c:pt>
                <c:pt idx="1156">
                  <c:v>19</c:v>
                </c:pt>
                <c:pt idx="1157">
                  <c:v>23</c:v>
                </c:pt>
                <c:pt idx="1158">
                  <c:v>20</c:v>
                </c:pt>
                <c:pt idx="1159">
                  <c:v>32</c:v>
                </c:pt>
                <c:pt idx="1160">
                  <c:v>43</c:v>
                </c:pt>
                <c:pt idx="1161">
                  <c:v>34</c:v>
                </c:pt>
                <c:pt idx="1162">
                  <c:v>30</c:v>
                </c:pt>
                <c:pt idx="1163">
                  <c:v>18</c:v>
                </c:pt>
                <c:pt idx="1164">
                  <c:v>41</c:v>
                </c:pt>
                <c:pt idx="1165">
                  <c:v>35</c:v>
                </c:pt>
                <c:pt idx="1166">
                  <c:v>57</c:v>
                </c:pt>
                <c:pt idx="1167">
                  <c:v>29</c:v>
                </c:pt>
                <c:pt idx="1168">
                  <c:v>32</c:v>
                </c:pt>
                <c:pt idx="1169">
                  <c:v>37</c:v>
                </c:pt>
                <c:pt idx="1170">
                  <c:v>18</c:v>
                </c:pt>
                <c:pt idx="1171">
                  <c:v>43</c:v>
                </c:pt>
                <c:pt idx="1172">
                  <c:v>56</c:v>
                </c:pt>
                <c:pt idx="1173">
                  <c:v>38</c:v>
                </c:pt>
                <c:pt idx="1174">
                  <c:v>29</c:v>
                </c:pt>
                <c:pt idx="1175">
                  <c:v>22</c:v>
                </c:pt>
                <c:pt idx="1176">
                  <c:v>52</c:v>
                </c:pt>
                <c:pt idx="1177">
                  <c:v>40</c:v>
                </c:pt>
                <c:pt idx="1178">
                  <c:v>23</c:v>
                </c:pt>
                <c:pt idx="1179">
                  <c:v>31</c:v>
                </c:pt>
                <c:pt idx="1180">
                  <c:v>42</c:v>
                </c:pt>
                <c:pt idx="1181">
                  <c:v>24</c:v>
                </c:pt>
                <c:pt idx="1182">
                  <c:v>25</c:v>
                </c:pt>
                <c:pt idx="1183">
                  <c:v>48</c:v>
                </c:pt>
                <c:pt idx="1184">
                  <c:v>23</c:v>
                </c:pt>
                <c:pt idx="1185">
                  <c:v>45</c:v>
                </c:pt>
                <c:pt idx="1186">
                  <c:v>20</c:v>
                </c:pt>
                <c:pt idx="1187">
                  <c:v>62</c:v>
                </c:pt>
                <c:pt idx="1188">
                  <c:v>43</c:v>
                </c:pt>
                <c:pt idx="1189">
                  <c:v>23</c:v>
                </c:pt>
                <c:pt idx="1190">
                  <c:v>31</c:v>
                </c:pt>
                <c:pt idx="1191">
                  <c:v>41</c:v>
                </c:pt>
                <c:pt idx="1192">
                  <c:v>58</c:v>
                </c:pt>
                <c:pt idx="1193">
                  <c:v>48</c:v>
                </c:pt>
                <c:pt idx="1194">
                  <c:v>31</c:v>
                </c:pt>
                <c:pt idx="1195">
                  <c:v>19</c:v>
                </c:pt>
                <c:pt idx="1196">
                  <c:v>19</c:v>
                </c:pt>
                <c:pt idx="1197">
                  <c:v>41</c:v>
                </c:pt>
                <c:pt idx="1198">
                  <c:v>40</c:v>
                </c:pt>
                <c:pt idx="1199">
                  <c:v>31</c:v>
                </c:pt>
                <c:pt idx="1200">
                  <c:v>37</c:v>
                </c:pt>
                <c:pt idx="1201">
                  <c:v>46</c:v>
                </c:pt>
                <c:pt idx="1202">
                  <c:v>22</c:v>
                </c:pt>
                <c:pt idx="1203">
                  <c:v>51</c:v>
                </c:pt>
                <c:pt idx="1204">
                  <c:v>18</c:v>
                </c:pt>
                <c:pt idx="1205">
                  <c:v>35</c:v>
                </c:pt>
                <c:pt idx="1206">
                  <c:v>59</c:v>
                </c:pt>
                <c:pt idx="1207">
                  <c:v>36</c:v>
                </c:pt>
                <c:pt idx="1208">
                  <c:v>37</c:v>
                </c:pt>
                <c:pt idx="1209">
                  <c:v>59</c:v>
                </c:pt>
                <c:pt idx="1210">
                  <c:v>36</c:v>
                </c:pt>
                <c:pt idx="1211">
                  <c:v>39</c:v>
                </c:pt>
                <c:pt idx="1212">
                  <c:v>18</c:v>
                </c:pt>
                <c:pt idx="1213">
                  <c:v>52</c:v>
                </c:pt>
                <c:pt idx="1214">
                  <c:v>27</c:v>
                </c:pt>
                <c:pt idx="1215">
                  <c:v>18</c:v>
                </c:pt>
                <c:pt idx="1216">
                  <c:v>40</c:v>
                </c:pt>
                <c:pt idx="1217">
                  <c:v>29</c:v>
                </c:pt>
                <c:pt idx="1218">
                  <c:v>46</c:v>
                </c:pt>
                <c:pt idx="1219">
                  <c:v>38</c:v>
                </c:pt>
                <c:pt idx="1220">
                  <c:v>30</c:v>
                </c:pt>
                <c:pt idx="1221">
                  <c:v>40</c:v>
                </c:pt>
                <c:pt idx="1222">
                  <c:v>50</c:v>
                </c:pt>
                <c:pt idx="1223">
                  <c:v>20</c:v>
                </c:pt>
                <c:pt idx="1224">
                  <c:v>41</c:v>
                </c:pt>
                <c:pt idx="1225">
                  <c:v>33</c:v>
                </c:pt>
                <c:pt idx="1226">
                  <c:v>38</c:v>
                </c:pt>
                <c:pt idx="1227">
                  <c:v>42</c:v>
                </c:pt>
                <c:pt idx="1228">
                  <c:v>56</c:v>
                </c:pt>
                <c:pt idx="1229">
                  <c:v>58</c:v>
                </c:pt>
                <c:pt idx="1230">
                  <c:v>52</c:v>
                </c:pt>
                <c:pt idx="1231">
                  <c:v>20</c:v>
                </c:pt>
                <c:pt idx="1232">
                  <c:v>54</c:v>
                </c:pt>
                <c:pt idx="1233">
                  <c:v>58</c:v>
                </c:pt>
                <c:pt idx="1234">
                  <c:v>45</c:v>
                </c:pt>
                <c:pt idx="1235">
                  <c:v>26</c:v>
                </c:pt>
                <c:pt idx="1236">
                  <c:v>63</c:v>
                </c:pt>
                <c:pt idx="1237">
                  <c:v>58</c:v>
                </c:pt>
                <c:pt idx="1238">
                  <c:v>37</c:v>
                </c:pt>
                <c:pt idx="1239">
                  <c:v>25</c:v>
                </c:pt>
                <c:pt idx="1240">
                  <c:v>52</c:v>
                </c:pt>
                <c:pt idx="1241">
                  <c:v>64</c:v>
                </c:pt>
                <c:pt idx="1242">
                  <c:v>22</c:v>
                </c:pt>
                <c:pt idx="1243">
                  <c:v>28</c:v>
                </c:pt>
                <c:pt idx="1244">
                  <c:v>18</c:v>
                </c:pt>
                <c:pt idx="1245">
                  <c:v>28</c:v>
                </c:pt>
                <c:pt idx="1246">
                  <c:v>45</c:v>
                </c:pt>
                <c:pt idx="1247">
                  <c:v>33</c:v>
                </c:pt>
                <c:pt idx="1248">
                  <c:v>18</c:v>
                </c:pt>
                <c:pt idx="1249">
                  <c:v>32</c:v>
                </c:pt>
                <c:pt idx="1250">
                  <c:v>24</c:v>
                </c:pt>
                <c:pt idx="1251">
                  <c:v>19</c:v>
                </c:pt>
                <c:pt idx="1252">
                  <c:v>20</c:v>
                </c:pt>
                <c:pt idx="1253">
                  <c:v>40</c:v>
                </c:pt>
                <c:pt idx="1254">
                  <c:v>34</c:v>
                </c:pt>
                <c:pt idx="1255">
                  <c:v>42</c:v>
                </c:pt>
                <c:pt idx="1256">
                  <c:v>51</c:v>
                </c:pt>
                <c:pt idx="1257">
                  <c:v>54</c:v>
                </c:pt>
                <c:pt idx="1258">
                  <c:v>55</c:v>
                </c:pt>
                <c:pt idx="1259">
                  <c:v>52</c:v>
                </c:pt>
                <c:pt idx="1260">
                  <c:v>32</c:v>
                </c:pt>
                <c:pt idx="1261">
                  <c:v>28</c:v>
                </c:pt>
                <c:pt idx="1262">
                  <c:v>41</c:v>
                </c:pt>
                <c:pt idx="1263">
                  <c:v>43</c:v>
                </c:pt>
                <c:pt idx="1264">
                  <c:v>49</c:v>
                </c:pt>
                <c:pt idx="1265">
                  <c:v>64</c:v>
                </c:pt>
                <c:pt idx="1266">
                  <c:v>55</c:v>
                </c:pt>
                <c:pt idx="1267">
                  <c:v>24</c:v>
                </c:pt>
                <c:pt idx="1268">
                  <c:v>20</c:v>
                </c:pt>
                <c:pt idx="1269">
                  <c:v>45</c:v>
                </c:pt>
                <c:pt idx="1270">
                  <c:v>26</c:v>
                </c:pt>
                <c:pt idx="1271">
                  <c:v>25</c:v>
                </c:pt>
                <c:pt idx="1272">
                  <c:v>43</c:v>
                </c:pt>
                <c:pt idx="1273">
                  <c:v>35</c:v>
                </c:pt>
                <c:pt idx="1274">
                  <c:v>26</c:v>
                </c:pt>
                <c:pt idx="1275">
                  <c:v>57</c:v>
                </c:pt>
                <c:pt idx="1276">
                  <c:v>22</c:v>
                </c:pt>
                <c:pt idx="1277">
                  <c:v>32</c:v>
                </c:pt>
                <c:pt idx="1278">
                  <c:v>39</c:v>
                </c:pt>
                <c:pt idx="1279">
                  <c:v>25</c:v>
                </c:pt>
                <c:pt idx="1280">
                  <c:v>48</c:v>
                </c:pt>
                <c:pt idx="1281">
                  <c:v>47</c:v>
                </c:pt>
                <c:pt idx="1282">
                  <c:v>18</c:v>
                </c:pt>
                <c:pt idx="1283">
                  <c:v>18</c:v>
                </c:pt>
                <c:pt idx="1284">
                  <c:v>61</c:v>
                </c:pt>
                <c:pt idx="1285">
                  <c:v>47</c:v>
                </c:pt>
                <c:pt idx="1286">
                  <c:v>28</c:v>
                </c:pt>
                <c:pt idx="1287">
                  <c:v>36</c:v>
                </c:pt>
                <c:pt idx="1288">
                  <c:v>20</c:v>
                </c:pt>
                <c:pt idx="1289">
                  <c:v>44</c:v>
                </c:pt>
                <c:pt idx="1290">
                  <c:v>38</c:v>
                </c:pt>
                <c:pt idx="1291">
                  <c:v>19</c:v>
                </c:pt>
                <c:pt idx="1292">
                  <c:v>21</c:v>
                </c:pt>
                <c:pt idx="1293">
                  <c:v>46</c:v>
                </c:pt>
                <c:pt idx="1294">
                  <c:v>58</c:v>
                </c:pt>
                <c:pt idx="1295">
                  <c:v>20</c:v>
                </c:pt>
                <c:pt idx="1296">
                  <c:v>18</c:v>
                </c:pt>
                <c:pt idx="1297">
                  <c:v>28</c:v>
                </c:pt>
                <c:pt idx="1298">
                  <c:v>33</c:v>
                </c:pt>
                <c:pt idx="1299">
                  <c:v>19</c:v>
                </c:pt>
                <c:pt idx="1300">
                  <c:v>45</c:v>
                </c:pt>
                <c:pt idx="1301">
                  <c:v>62</c:v>
                </c:pt>
                <c:pt idx="1302">
                  <c:v>25</c:v>
                </c:pt>
                <c:pt idx="1303">
                  <c:v>43</c:v>
                </c:pt>
                <c:pt idx="1304">
                  <c:v>42</c:v>
                </c:pt>
                <c:pt idx="1305">
                  <c:v>24</c:v>
                </c:pt>
                <c:pt idx="1306">
                  <c:v>29</c:v>
                </c:pt>
                <c:pt idx="1307">
                  <c:v>32</c:v>
                </c:pt>
                <c:pt idx="1308">
                  <c:v>25</c:v>
                </c:pt>
                <c:pt idx="1309">
                  <c:v>41</c:v>
                </c:pt>
                <c:pt idx="1310">
                  <c:v>42</c:v>
                </c:pt>
                <c:pt idx="1311">
                  <c:v>33</c:v>
                </c:pt>
                <c:pt idx="1312">
                  <c:v>34</c:v>
                </c:pt>
                <c:pt idx="1313">
                  <c:v>19</c:v>
                </c:pt>
                <c:pt idx="1314">
                  <c:v>30</c:v>
                </c:pt>
                <c:pt idx="1315">
                  <c:v>18</c:v>
                </c:pt>
                <c:pt idx="1316">
                  <c:v>19</c:v>
                </c:pt>
                <c:pt idx="1317">
                  <c:v>18</c:v>
                </c:pt>
                <c:pt idx="1318">
                  <c:v>35</c:v>
                </c:pt>
                <c:pt idx="1319">
                  <c:v>39</c:v>
                </c:pt>
                <c:pt idx="1320">
                  <c:v>31</c:v>
                </c:pt>
                <c:pt idx="1321">
                  <c:v>62</c:v>
                </c:pt>
                <c:pt idx="1322">
                  <c:v>62</c:v>
                </c:pt>
                <c:pt idx="1323">
                  <c:v>42</c:v>
                </c:pt>
                <c:pt idx="1324">
                  <c:v>31</c:v>
                </c:pt>
                <c:pt idx="1325">
                  <c:v>61</c:v>
                </c:pt>
                <c:pt idx="1326">
                  <c:v>42</c:v>
                </c:pt>
                <c:pt idx="1327">
                  <c:v>51</c:v>
                </c:pt>
                <c:pt idx="1328">
                  <c:v>23</c:v>
                </c:pt>
                <c:pt idx="1329">
                  <c:v>52</c:v>
                </c:pt>
                <c:pt idx="1330">
                  <c:v>57</c:v>
                </c:pt>
                <c:pt idx="1331">
                  <c:v>23</c:v>
                </c:pt>
                <c:pt idx="1332">
                  <c:v>52</c:v>
                </c:pt>
                <c:pt idx="1333">
                  <c:v>50</c:v>
                </c:pt>
                <c:pt idx="1334">
                  <c:v>18</c:v>
                </c:pt>
                <c:pt idx="1335">
                  <c:v>18</c:v>
                </c:pt>
                <c:pt idx="1336">
                  <c:v>21</c:v>
                </c:pt>
                <c:pt idx="1337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B3-4744-BB53-B550051DF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377504"/>
        <c:axId val="746149776"/>
      </c:scatterChart>
      <c:valAx>
        <c:axId val="1738377504"/>
        <c:scaling>
          <c:orientation val="minMax"/>
        </c:scaling>
        <c:delete val="0"/>
        <c:axPos val="b"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746149776"/>
        <c:crosses val="autoZero"/>
        <c:crossBetween val="midCat"/>
      </c:valAx>
      <c:valAx>
        <c:axId val="746149776"/>
        <c:scaling>
          <c:orientation val="minMax"/>
        </c:scaling>
        <c:delete val="0"/>
        <c:axPos val="l"/>
        <c:majorGridlines>
          <c:spPr>
            <a:ln>
              <a:solidFill>
                <a:srgbClr val="EEEEFF"/>
              </a:solidFill>
            </a:ln>
          </c:spPr>
        </c:majorGridlines>
        <c:numFmt formatCode="0.000" sourceLinked="0"/>
        <c:majorTickMark val="out"/>
        <c:minorTickMark val="none"/>
        <c:tickLblPos val="nextTo"/>
        <c:crossAx val="173837750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/>
            </a:pPr>
            <a:r>
              <a:rPr lang="en-GB" sz="1000" b="0"/>
              <a:t>age vs bmi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3"/>
            <c:spPr>
              <a:ln/>
            </c:spPr>
          </c:marker>
          <c:xVal>
            <c:numRef>
              <c:f>insurance!$C$2:$C$1339</c:f>
              <c:numCache>
                <c:formatCode>General</c:formatCode>
                <c:ptCount val="1338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  <c:pt idx="937">
                  <c:v>24.225000000000001</c:v>
                </c:pt>
                <c:pt idx="938">
                  <c:v>26.18</c:v>
                </c:pt>
                <c:pt idx="939">
                  <c:v>29.48</c:v>
                </c:pt>
                <c:pt idx="940">
                  <c:v>23.21</c:v>
                </c:pt>
                <c:pt idx="941">
                  <c:v>46.09</c:v>
                </c:pt>
                <c:pt idx="942">
                  <c:v>40.185000000000002</c:v>
                </c:pt>
                <c:pt idx="943">
                  <c:v>22.61</c:v>
                </c:pt>
                <c:pt idx="944">
                  <c:v>39.93</c:v>
                </c:pt>
                <c:pt idx="945">
                  <c:v>35.799999999999997</c:v>
                </c:pt>
                <c:pt idx="946">
                  <c:v>35.799999999999997</c:v>
                </c:pt>
                <c:pt idx="947">
                  <c:v>34.200000000000003</c:v>
                </c:pt>
                <c:pt idx="948">
                  <c:v>31.254999999999999</c:v>
                </c:pt>
                <c:pt idx="949">
                  <c:v>29.7</c:v>
                </c:pt>
                <c:pt idx="950">
                  <c:v>18.335000000000001</c:v>
                </c:pt>
                <c:pt idx="951">
                  <c:v>42.9</c:v>
                </c:pt>
                <c:pt idx="952">
                  <c:v>28.405000000000001</c:v>
                </c:pt>
                <c:pt idx="953">
                  <c:v>30.2</c:v>
                </c:pt>
                <c:pt idx="954">
                  <c:v>27.835000000000001</c:v>
                </c:pt>
                <c:pt idx="955">
                  <c:v>39.49</c:v>
                </c:pt>
                <c:pt idx="956">
                  <c:v>30.8</c:v>
                </c:pt>
                <c:pt idx="957">
                  <c:v>26.79</c:v>
                </c:pt>
                <c:pt idx="958">
                  <c:v>34.96</c:v>
                </c:pt>
                <c:pt idx="959">
                  <c:v>36.67</c:v>
                </c:pt>
                <c:pt idx="960">
                  <c:v>39.615000000000002</c:v>
                </c:pt>
                <c:pt idx="961">
                  <c:v>25.9</c:v>
                </c:pt>
                <c:pt idx="962">
                  <c:v>35.200000000000003</c:v>
                </c:pt>
                <c:pt idx="963">
                  <c:v>24.795000000000002</c:v>
                </c:pt>
                <c:pt idx="964">
                  <c:v>36.765000000000001</c:v>
                </c:pt>
                <c:pt idx="965">
                  <c:v>27.1</c:v>
                </c:pt>
                <c:pt idx="966">
                  <c:v>24.795000000000002</c:v>
                </c:pt>
                <c:pt idx="967">
                  <c:v>25.364999999999998</c:v>
                </c:pt>
                <c:pt idx="968">
                  <c:v>25.745000000000001</c:v>
                </c:pt>
                <c:pt idx="969">
                  <c:v>34.32</c:v>
                </c:pt>
                <c:pt idx="970">
                  <c:v>28.16</c:v>
                </c:pt>
                <c:pt idx="971">
                  <c:v>23.56</c:v>
                </c:pt>
                <c:pt idx="972">
                  <c:v>20.234999999999999</c:v>
                </c:pt>
                <c:pt idx="973">
                  <c:v>40.5</c:v>
                </c:pt>
                <c:pt idx="974">
                  <c:v>35.42</c:v>
                </c:pt>
                <c:pt idx="975">
                  <c:v>22.895</c:v>
                </c:pt>
                <c:pt idx="976">
                  <c:v>40.15</c:v>
                </c:pt>
                <c:pt idx="977">
                  <c:v>29.15</c:v>
                </c:pt>
                <c:pt idx="978">
                  <c:v>39.994999999999997</c:v>
                </c:pt>
                <c:pt idx="979">
                  <c:v>29.92</c:v>
                </c:pt>
                <c:pt idx="980">
                  <c:v>25.46</c:v>
                </c:pt>
                <c:pt idx="981">
                  <c:v>21.375</c:v>
                </c:pt>
                <c:pt idx="982">
                  <c:v>25.9</c:v>
                </c:pt>
                <c:pt idx="983">
                  <c:v>30.59</c:v>
                </c:pt>
                <c:pt idx="984">
                  <c:v>30.114999999999998</c:v>
                </c:pt>
                <c:pt idx="985">
                  <c:v>25.8</c:v>
                </c:pt>
                <c:pt idx="986">
                  <c:v>30.114999999999998</c:v>
                </c:pt>
                <c:pt idx="987">
                  <c:v>27.645</c:v>
                </c:pt>
                <c:pt idx="988">
                  <c:v>34.674999999999997</c:v>
                </c:pt>
                <c:pt idx="989">
                  <c:v>20.52</c:v>
                </c:pt>
                <c:pt idx="990">
                  <c:v>19.8</c:v>
                </c:pt>
                <c:pt idx="991">
                  <c:v>27.835000000000001</c:v>
                </c:pt>
                <c:pt idx="992">
                  <c:v>31.6</c:v>
                </c:pt>
                <c:pt idx="993">
                  <c:v>28.27</c:v>
                </c:pt>
                <c:pt idx="994">
                  <c:v>20.045000000000002</c:v>
                </c:pt>
                <c:pt idx="995">
                  <c:v>23.274999999999999</c:v>
                </c:pt>
                <c:pt idx="996">
                  <c:v>34.1</c:v>
                </c:pt>
                <c:pt idx="997">
                  <c:v>36.85</c:v>
                </c:pt>
                <c:pt idx="998">
                  <c:v>36.29</c:v>
                </c:pt>
                <c:pt idx="999">
                  <c:v>26.885000000000002</c:v>
                </c:pt>
                <c:pt idx="1000">
                  <c:v>22.99</c:v>
                </c:pt>
                <c:pt idx="1001">
                  <c:v>32.700000000000003</c:v>
                </c:pt>
                <c:pt idx="1002">
                  <c:v>25.8</c:v>
                </c:pt>
                <c:pt idx="1003">
                  <c:v>29.6</c:v>
                </c:pt>
                <c:pt idx="1004">
                  <c:v>19.190000000000001</c:v>
                </c:pt>
                <c:pt idx="1005">
                  <c:v>31.73</c:v>
                </c:pt>
                <c:pt idx="1006">
                  <c:v>29.26</c:v>
                </c:pt>
                <c:pt idx="1007">
                  <c:v>28.215</c:v>
                </c:pt>
                <c:pt idx="1008">
                  <c:v>24.984999999999999</c:v>
                </c:pt>
                <c:pt idx="1009">
                  <c:v>27.74</c:v>
                </c:pt>
                <c:pt idx="1010">
                  <c:v>22.8</c:v>
                </c:pt>
                <c:pt idx="1011">
                  <c:v>20.13</c:v>
                </c:pt>
                <c:pt idx="1012">
                  <c:v>33.33</c:v>
                </c:pt>
                <c:pt idx="1013">
                  <c:v>32.299999999999997</c:v>
                </c:pt>
                <c:pt idx="1014">
                  <c:v>27.6</c:v>
                </c:pt>
                <c:pt idx="1015">
                  <c:v>25.46</c:v>
                </c:pt>
                <c:pt idx="1016">
                  <c:v>24.605</c:v>
                </c:pt>
                <c:pt idx="1017">
                  <c:v>34.200000000000003</c:v>
                </c:pt>
                <c:pt idx="1018">
                  <c:v>35.814999999999998</c:v>
                </c:pt>
                <c:pt idx="1019">
                  <c:v>32.68</c:v>
                </c:pt>
                <c:pt idx="1020">
                  <c:v>37</c:v>
                </c:pt>
                <c:pt idx="1021">
                  <c:v>31.02</c:v>
                </c:pt>
                <c:pt idx="1022">
                  <c:v>36.08</c:v>
                </c:pt>
                <c:pt idx="1023">
                  <c:v>23.32</c:v>
                </c:pt>
                <c:pt idx="1024">
                  <c:v>45.32</c:v>
                </c:pt>
                <c:pt idx="1025">
                  <c:v>34.6</c:v>
                </c:pt>
                <c:pt idx="1026">
                  <c:v>26.03</c:v>
                </c:pt>
                <c:pt idx="1027">
                  <c:v>18.715</c:v>
                </c:pt>
                <c:pt idx="1028">
                  <c:v>31.6</c:v>
                </c:pt>
                <c:pt idx="1029">
                  <c:v>17.29</c:v>
                </c:pt>
                <c:pt idx="1030">
                  <c:v>23.655000000000001</c:v>
                </c:pt>
                <c:pt idx="1031">
                  <c:v>35.200000000000003</c:v>
                </c:pt>
                <c:pt idx="1032">
                  <c:v>27.93</c:v>
                </c:pt>
                <c:pt idx="1033">
                  <c:v>21.565000000000001</c:v>
                </c:pt>
                <c:pt idx="1034">
                  <c:v>38.380000000000003</c:v>
                </c:pt>
                <c:pt idx="1035">
                  <c:v>23</c:v>
                </c:pt>
                <c:pt idx="1036">
                  <c:v>37.07</c:v>
                </c:pt>
                <c:pt idx="1037">
                  <c:v>30.495000000000001</c:v>
                </c:pt>
                <c:pt idx="1038">
                  <c:v>28.88</c:v>
                </c:pt>
                <c:pt idx="1039">
                  <c:v>27.265000000000001</c:v>
                </c:pt>
                <c:pt idx="1040">
                  <c:v>28.024999999999999</c:v>
                </c:pt>
                <c:pt idx="1041">
                  <c:v>23.085000000000001</c:v>
                </c:pt>
                <c:pt idx="1042">
                  <c:v>30.684999999999999</c:v>
                </c:pt>
                <c:pt idx="1043">
                  <c:v>25.8</c:v>
                </c:pt>
                <c:pt idx="1044">
                  <c:v>35.244999999999997</c:v>
                </c:pt>
                <c:pt idx="1045">
                  <c:v>24.7</c:v>
                </c:pt>
                <c:pt idx="1046">
                  <c:v>25.08</c:v>
                </c:pt>
                <c:pt idx="1047">
                  <c:v>52.58</c:v>
                </c:pt>
                <c:pt idx="1048">
                  <c:v>22.515000000000001</c:v>
                </c:pt>
                <c:pt idx="1049">
                  <c:v>30.9</c:v>
                </c:pt>
                <c:pt idx="1050">
                  <c:v>36.954999999999998</c:v>
                </c:pt>
                <c:pt idx="1051">
                  <c:v>26.41</c:v>
                </c:pt>
                <c:pt idx="1052">
                  <c:v>29.83</c:v>
                </c:pt>
                <c:pt idx="1053">
                  <c:v>29.8</c:v>
                </c:pt>
                <c:pt idx="1054">
                  <c:v>21.47</c:v>
                </c:pt>
                <c:pt idx="1055">
                  <c:v>27.645</c:v>
                </c:pt>
                <c:pt idx="1056">
                  <c:v>28.9</c:v>
                </c:pt>
                <c:pt idx="1057">
                  <c:v>31.79</c:v>
                </c:pt>
                <c:pt idx="1058">
                  <c:v>39.49</c:v>
                </c:pt>
                <c:pt idx="1059">
                  <c:v>33.82</c:v>
                </c:pt>
                <c:pt idx="1060">
                  <c:v>32.01</c:v>
                </c:pt>
                <c:pt idx="1061">
                  <c:v>27.94</c:v>
                </c:pt>
                <c:pt idx="1062">
                  <c:v>41.14</c:v>
                </c:pt>
                <c:pt idx="1063">
                  <c:v>28.594999999999999</c:v>
                </c:pt>
                <c:pt idx="1064">
                  <c:v>25.6</c:v>
                </c:pt>
                <c:pt idx="1065">
                  <c:v>25.3</c:v>
                </c:pt>
                <c:pt idx="1066">
                  <c:v>37.29</c:v>
                </c:pt>
                <c:pt idx="1067">
                  <c:v>42.655000000000001</c:v>
                </c:pt>
                <c:pt idx="1068">
                  <c:v>21.66</c:v>
                </c:pt>
                <c:pt idx="1069">
                  <c:v>31.9</c:v>
                </c:pt>
                <c:pt idx="1070">
                  <c:v>37.07</c:v>
                </c:pt>
                <c:pt idx="1071">
                  <c:v>31.445</c:v>
                </c:pt>
                <c:pt idx="1072">
                  <c:v>31.254999999999999</c:v>
                </c:pt>
                <c:pt idx="1073">
                  <c:v>28.88</c:v>
                </c:pt>
                <c:pt idx="1074">
                  <c:v>18.335000000000001</c:v>
                </c:pt>
                <c:pt idx="1075">
                  <c:v>29.59</c:v>
                </c:pt>
                <c:pt idx="1076">
                  <c:v>32</c:v>
                </c:pt>
                <c:pt idx="1077">
                  <c:v>26.03</c:v>
                </c:pt>
                <c:pt idx="1078">
                  <c:v>31.68</c:v>
                </c:pt>
                <c:pt idx="1079">
                  <c:v>33.659999999999997</c:v>
                </c:pt>
                <c:pt idx="1080">
                  <c:v>21.78</c:v>
                </c:pt>
                <c:pt idx="1081">
                  <c:v>27.835000000000001</c:v>
                </c:pt>
                <c:pt idx="1082">
                  <c:v>19.95</c:v>
                </c:pt>
                <c:pt idx="1083">
                  <c:v>31.5</c:v>
                </c:pt>
                <c:pt idx="1084">
                  <c:v>30.495000000000001</c:v>
                </c:pt>
                <c:pt idx="1085">
                  <c:v>18.3</c:v>
                </c:pt>
                <c:pt idx="1086">
                  <c:v>28.975000000000001</c:v>
                </c:pt>
                <c:pt idx="1087">
                  <c:v>31.54</c:v>
                </c:pt>
                <c:pt idx="1088">
                  <c:v>47.74</c:v>
                </c:pt>
                <c:pt idx="1089">
                  <c:v>22.1</c:v>
                </c:pt>
                <c:pt idx="1090">
                  <c:v>36.19</c:v>
                </c:pt>
                <c:pt idx="1091">
                  <c:v>29.83</c:v>
                </c:pt>
                <c:pt idx="1092">
                  <c:v>32.700000000000003</c:v>
                </c:pt>
                <c:pt idx="1093">
                  <c:v>30.4</c:v>
                </c:pt>
                <c:pt idx="1094">
                  <c:v>33.700000000000003</c:v>
                </c:pt>
                <c:pt idx="1095">
                  <c:v>31.35</c:v>
                </c:pt>
                <c:pt idx="1096">
                  <c:v>34.96</c:v>
                </c:pt>
                <c:pt idx="1097">
                  <c:v>33.770000000000003</c:v>
                </c:pt>
                <c:pt idx="1098">
                  <c:v>30.875</c:v>
                </c:pt>
                <c:pt idx="1099">
                  <c:v>33.99</c:v>
                </c:pt>
                <c:pt idx="1100">
                  <c:v>19.094999999999999</c:v>
                </c:pt>
                <c:pt idx="1101">
                  <c:v>28.6</c:v>
                </c:pt>
                <c:pt idx="1102">
                  <c:v>38.94</c:v>
                </c:pt>
                <c:pt idx="1103">
                  <c:v>36.08</c:v>
                </c:pt>
                <c:pt idx="1104">
                  <c:v>29.8</c:v>
                </c:pt>
                <c:pt idx="1105">
                  <c:v>31.24</c:v>
                </c:pt>
                <c:pt idx="1106">
                  <c:v>29.925000000000001</c:v>
                </c:pt>
                <c:pt idx="1107">
                  <c:v>26.22</c:v>
                </c:pt>
                <c:pt idx="1108">
                  <c:v>30</c:v>
                </c:pt>
                <c:pt idx="1109">
                  <c:v>20.350000000000001</c:v>
                </c:pt>
                <c:pt idx="1110">
                  <c:v>32.299999999999997</c:v>
                </c:pt>
                <c:pt idx="1111">
                  <c:v>38.39</c:v>
                </c:pt>
                <c:pt idx="1112">
                  <c:v>25.85</c:v>
                </c:pt>
                <c:pt idx="1113">
                  <c:v>26.315000000000001</c:v>
                </c:pt>
                <c:pt idx="1114">
                  <c:v>24.51</c:v>
                </c:pt>
                <c:pt idx="1115">
                  <c:v>32.67</c:v>
                </c:pt>
                <c:pt idx="1116">
                  <c:v>29.64</c:v>
                </c:pt>
                <c:pt idx="1117">
                  <c:v>33.33</c:v>
                </c:pt>
                <c:pt idx="1118">
                  <c:v>35.75</c:v>
                </c:pt>
                <c:pt idx="1119">
                  <c:v>19.95</c:v>
                </c:pt>
                <c:pt idx="1120">
                  <c:v>31.4</c:v>
                </c:pt>
                <c:pt idx="1121">
                  <c:v>38.17</c:v>
                </c:pt>
                <c:pt idx="1122">
                  <c:v>36.86</c:v>
                </c:pt>
                <c:pt idx="1123">
                  <c:v>32.395000000000003</c:v>
                </c:pt>
                <c:pt idx="1124">
                  <c:v>42.75</c:v>
                </c:pt>
                <c:pt idx="1125">
                  <c:v>25.08</c:v>
                </c:pt>
                <c:pt idx="1126">
                  <c:v>29.9</c:v>
                </c:pt>
                <c:pt idx="1127">
                  <c:v>35.86</c:v>
                </c:pt>
                <c:pt idx="1128">
                  <c:v>32.799999999999997</c:v>
                </c:pt>
                <c:pt idx="1129">
                  <c:v>18.600000000000001</c:v>
                </c:pt>
                <c:pt idx="1130">
                  <c:v>23.87</c:v>
                </c:pt>
                <c:pt idx="1131">
                  <c:v>45.9</c:v>
                </c:pt>
                <c:pt idx="1132">
                  <c:v>40.28</c:v>
                </c:pt>
                <c:pt idx="1133">
                  <c:v>18.335000000000001</c:v>
                </c:pt>
                <c:pt idx="1134">
                  <c:v>33.82</c:v>
                </c:pt>
                <c:pt idx="1135">
                  <c:v>28.12</c:v>
                </c:pt>
                <c:pt idx="1136">
                  <c:v>25</c:v>
                </c:pt>
                <c:pt idx="1137">
                  <c:v>22.23</c:v>
                </c:pt>
                <c:pt idx="1138">
                  <c:v>30.25</c:v>
                </c:pt>
                <c:pt idx="1139">
                  <c:v>32.49</c:v>
                </c:pt>
                <c:pt idx="1140">
                  <c:v>37.07</c:v>
                </c:pt>
                <c:pt idx="1141">
                  <c:v>32.6</c:v>
                </c:pt>
                <c:pt idx="1142">
                  <c:v>24.86</c:v>
                </c:pt>
                <c:pt idx="1143">
                  <c:v>32.340000000000003</c:v>
                </c:pt>
                <c:pt idx="1144">
                  <c:v>32.299999999999997</c:v>
                </c:pt>
                <c:pt idx="1145">
                  <c:v>32.774999999999999</c:v>
                </c:pt>
                <c:pt idx="1146">
                  <c:v>32.799999999999997</c:v>
                </c:pt>
                <c:pt idx="1147">
                  <c:v>31.92</c:v>
                </c:pt>
                <c:pt idx="1148">
                  <c:v>21.5</c:v>
                </c:pt>
                <c:pt idx="1149">
                  <c:v>34.1</c:v>
                </c:pt>
                <c:pt idx="1150">
                  <c:v>30.305</c:v>
                </c:pt>
                <c:pt idx="1151">
                  <c:v>36.479999999999997</c:v>
                </c:pt>
                <c:pt idx="1152">
                  <c:v>32.56</c:v>
                </c:pt>
                <c:pt idx="1153">
                  <c:v>35.814999999999998</c:v>
                </c:pt>
                <c:pt idx="1154">
                  <c:v>27.93</c:v>
                </c:pt>
                <c:pt idx="1155">
                  <c:v>22.135000000000002</c:v>
                </c:pt>
                <c:pt idx="1156">
                  <c:v>44.88</c:v>
                </c:pt>
                <c:pt idx="1157">
                  <c:v>23.18</c:v>
                </c:pt>
                <c:pt idx="1158">
                  <c:v>30.59</c:v>
                </c:pt>
                <c:pt idx="1159">
                  <c:v>41.1</c:v>
                </c:pt>
                <c:pt idx="1160">
                  <c:v>34.58</c:v>
                </c:pt>
                <c:pt idx="1161">
                  <c:v>42.13</c:v>
                </c:pt>
                <c:pt idx="1162">
                  <c:v>38.83</c:v>
                </c:pt>
                <c:pt idx="1163">
                  <c:v>28.215</c:v>
                </c:pt>
                <c:pt idx="1164">
                  <c:v>28.31</c:v>
                </c:pt>
                <c:pt idx="1165">
                  <c:v>26.125</c:v>
                </c:pt>
                <c:pt idx="1166">
                  <c:v>40.369999999999997</c:v>
                </c:pt>
                <c:pt idx="1167">
                  <c:v>24.6</c:v>
                </c:pt>
                <c:pt idx="1168">
                  <c:v>35.200000000000003</c:v>
                </c:pt>
                <c:pt idx="1169">
                  <c:v>34.104999999999997</c:v>
                </c:pt>
                <c:pt idx="1170">
                  <c:v>27.36</c:v>
                </c:pt>
                <c:pt idx="1171">
                  <c:v>26.7</c:v>
                </c:pt>
                <c:pt idx="1172">
                  <c:v>41.91</c:v>
                </c:pt>
                <c:pt idx="1173">
                  <c:v>29.26</c:v>
                </c:pt>
                <c:pt idx="1174">
                  <c:v>32.11</c:v>
                </c:pt>
                <c:pt idx="1175">
                  <c:v>27.1</c:v>
                </c:pt>
                <c:pt idx="1176">
                  <c:v>24.13</c:v>
                </c:pt>
                <c:pt idx="1177">
                  <c:v>27.4</c:v>
                </c:pt>
                <c:pt idx="1178">
                  <c:v>34.865000000000002</c:v>
                </c:pt>
                <c:pt idx="1179">
                  <c:v>29.81</c:v>
                </c:pt>
                <c:pt idx="1180">
                  <c:v>41.325000000000003</c:v>
                </c:pt>
                <c:pt idx="1181">
                  <c:v>29.925000000000001</c:v>
                </c:pt>
                <c:pt idx="1182">
                  <c:v>30.3</c:v>
                </c:pt>
                <c:pt idx="1183">
                  <c:v>27.36</c:v>
                </c:pt>
                <c:pt idx="1184">
                  <c:v>28.49</c:v>
                </c:pt>
                <c:pt idx="1185">
                  <c:v>23.56</c:v>
                </c:pt>
                <c:pt idx="1186">
                  <c:v>35.625</c:v>
                </c:pt>
                <c:pt idx="1187">
                  <c:v>32.68</c:v>
                </c:pt>
                <c:pt idx="1188">
                  <c:v>25.27</c:v>
                </c:pt>
                <c:pt idx="1189">
                  <c:v>28</c:v>
                </c:pt>
                <c:pt idx="1190">
                  <c:v>32.774999999999999</c:v>
                </c:pt>
                <c:pt idx="1191">
                  <c:v>21.754999999999999</c:v>
                </c:pt>
                <c:pt idx="1192">
                  <c:v>32.395000000000003</c:v>
                </c:pt>
                <c:pt idx="1193">
                  <c:v>36.575000000000003</c:v>
                </c:pt>
                <c:pt idx="1194">
                  <c:v>21.754999999999999</c:v>
                </c:pt>
                <c:pt idx="1195">
                  <c:v>27.93</c:v>
                </c:pt>
                <c:pt idx="1196">
                  <c:v>30.02</c:v>
                </c:pt>
                <c:pt idx="1197">
                  <c:v>33.549999999999997</c:v>
                </c:pt>
                <c:pt idx="1198">
                  <c:v>29.355</c:v>
                </c:pt>
                <c:pt idx="1199">
                  <c:v>25.8</c:v>
                </c:pt>
                <c:pt idx="1200">
                  <c:v>24.32</c:v>
                </c:pt>
                <c:pt idx="1201">
                  <c:v>40.375</c:v>
                </c:pt>
                <c:pt idx="1202">
                  <c:v>32.11</c:v>
                </c:pt>
                <c:pt idx="1203">
                  <c:v>32.299999999999997</c:v>
                </c:pt>
                <c:pt idx="1204">
                  <c:v>27.28</c:v>
                </c:pt>
                <c:pt idx="1205">
                  <c:v>17.86</c:v>
                </c:pt>
                <c:pt idx="1206">
                  <c:v>34.799999999999997</c:v>
                </c:pt>
                <c:pt idx="1207">
                  <c:v>33.4</c:v>
                </c:pt>
                <c:pt idx="1208">
                  <c:v>25.555</c:v>
                </c:pt>
                <c:pt idx="1209">
                  <c:v>37.1</c:v>
                </c:pt>
                <c:pt idx="1210">
                  <c:v>30.875</c:v>
                </c:pt>
                <c:pt idx="1211">
                  <c:v>34.1</c:v>
                </c:pt>
                <c:pt idx="1212">
                  <c:v>21.47</c:v>
                </c:pt>
                <c:pt idx="1213">
                  <c:v>33.299999999999997</c:v>
                </c:pt>
                <c:pt idx="1214">
                  <c:v>31.254999999999999</c:v>
                </c:pt>
                <c:pt idx="1215">
                  <c:v>39.14</c:v>
                </c:pt>
                <c:pt idx="1216">
                  <c:v>25.08</c:v>
                </c:pt>
                <c:pt idx="1217">
                  <c:v>37.29</c:v>
                </c:pt>
                <c:pt idx="1218">
                  <c:v>34.6</c:v>
                </c:pt>
                <c:pt idx="1219">
                  <c:v>30.21</c:v>
                </c:pt>
                <c:pt idx="1220">
                  <c:v>21.945</c:v>
                </c:pt>
                <c:pt idx="1221">
                  <c:v>24.97</c:v>
                </c:pt>
                <c:pt idx="1222">
                  <c:v>25.3</c:v>
                </c:pt>
                <c:pt idx="1223">
                  <c:v>24.42</c:v>
                </c:pt>
                <c:pt idx="1224">
                  <c:v>23.94</c:v>
                </c:pt>
                <c:pt idx="1225">
                  <c:v>39.82</c:v>
                </c:pt>
                <c:pt idx="1226">
                  <c:v>16.815000000000001</c:v>
                </c:pt>
                <c:pt idx="1227">
                  <c:v>37.18</c:v>
                </c:pt>
                <c:pt idx="1228">
                  <c:v>34.43</c:v>
                </c:pt>
                <c:pt idx="1229">
                  <c:v>30.305</c:v>
                </c:pt>
                <c:pt idx="1230">
                  <c:v>34.484999999999999</c:v>
                </c:pt>
                <c:pt idx="1231">
                  <c:v>21.8</c:v>
                </c:pt>
                <c:pt idx="1232">
                  <c:v>24.605</c:v>
                </c:pt>
                <c:pt idx="1233">
                  <c:v>23.3</c:v>
                </c:pt>
                <c:pt idx="1234">
                  <c:v>27.83</c:v>
                </c:pt>
                <c:pt idx="1235">
                  <c:v>31.065000000000001</c:v>
                </c:pt>
                <c:pt idx="1236">
                  <c:v>21.66</c:v>
                </c:pt>
                <c:pt idx="1237">
                  <c:v>28.215</c:v>
                </c:pt>
                <c:pt idx="1238">
                  <c:v>22.704999999999998</c:v>
                </c:pt>
                <c:pt idx="1239">
                  <c:v>42.13</c:v>
                </c:pt>
                <c:pt idx="1240">
                  <c:v>41.8</c:v>
                </c:pt>
                <c:pt idx="1241">
                  <c:v>36.96</c:v>
                </c:pt>
                <c:pt idx="1242">
                  <c:v>21.28</c:v>
                </c:pt>
                <c:pt idx="1243">
                  <c:v>33.11</c:v>
                </c:pt>
                <c:pt idx="1244">
                  <c:v>33.33</c:v>
                </c:pt>
                <c:pt idx="1245">
                  <c:v>24.3</c:v>
                </c:pt>
                <c:pt idx="1246">
                  <c:v>25.7</c:v>
                </c:pt>
                <c:pt idx="1247">
                  <c:v>29.4</c:v>
                </c:pt>
                <c:pt idx="1248">
                  <c:v>39.82</c:v>
                </c:pt>
                <c:pt idx="1249">
                  <c:v>33.630000000000003</c:v>
                </c:pt>
                <c:pt idx="1250">
                  <c:v>29.83</c:v>
                </c:pt>
                <c:pt idx="1251">
                  <c:v>19.8</c:v>
                </c:pt>
                <c:pt idx="1252">
                  <c:v>27.3</c:v>
                </c:pt>
                <c:pt idx="1253">
                  <c:v>29.3</c:v>
                </c:pt>
                <c:pt idx="1254">
                  <c:v>27.72</c:v>
                </c:pt>
                <c:pt idx="1255">
                  <c:v>37.9</c:v>
                </c:pt>
                <c:pt idx="1256">
                  <c:v>36.384999999999998</c:v>
                </c:pt>
                <c:pt idx="1257">
                  <c:v>27.645</c:v>
                </c:pt>
                <c:pt idx="1258">
                  <c:v>37.715000000000003</c:v>
                </c:pt>
                <c:pt idx="1259">
                  <c:v>23.18</c:v>
                </c:pt>
                <c:pt idx="1260">
                  <c:v>20.52</c:v>
                </c:pt>
                <c:pt idx="1261">
                  <c:v>37.1</c:v>
                </c:pt>
                <c:pt idx="1262">
                  <c:v>28.05</c:v>
                </c:pt>
                <c:pt idx="1263">
                  <c:v>29.9</c:v>
                </c:pt>
                <c:pt idx="1264">
                  <c:v>33.344999999999999</c:v>
                </c:pt>
                <c:pt idx="1265">
                  <c:v>23.76</c:v>
                </c:pt>
                <c:pt idx="1266">
                  <c:v>30.5</c:v>
                </c:pt>
                <c:pt idx="1267">
                  <c:v>31.065000000000001</c:v>
                </c:pt>
                <c:pt idx="1268">
                  <c:v>33.299999999999997</c:v>
                </c:pt>
                <c:pt idx="1269">
                  <c:v>27.5</c:v>
                </c:pt>
                <c:pt idx="1270">
                  <c:v>33.914999999999999</c:v>
                </c:pt>
                <c:pt idx="1271">
                  <c:v>34.484999999999999</c:v>
                </c:pt>
                <c:pt idx="1272">
                  <c:v>25.52</c:v>
                </c:pt>
                <c:pt idx="1273">
                  <c:v>27.61</c:v>
                </c:pt>
                <c:pt idx="1274">
                  <c:v>27.06</c:v>
                </c:pt>
                <c:pt idx="1275">
                  <c:v>23.7</c:v>
                </c:pt>
                <c:pt idx="1276">
                  <c:v>30.4</c:v>
                </c:pt>
                <c:pt idx="1277">
                  <c:v>29.734999999999999</c:v>
                </c:pt>
                <c:pt idx="1278">
                  <c:v>29.925000000000001</c:v>
                </c:pt>
                <c:pt idx="1279">
                  <c:v>26.79</c:v>
                </c:pt>
                <c:pt idx="1280">
                  <c:v>33.33</c:v>
                </c:pt>
                <c:pt idx="1281">
                  <c:v>27.645</c:v>
                </c:pt>
                <c:pt idx="1282">
                  <c:v>21.66</c:v>
                </c:pt>
                <c:pt idx="1283">
                  <c:v>30.03</c:v>
                </c:pt>
                <c:pt idx="1284">
                  <c:v>36.299999999999997</c:v>
                </c:pt>
                <c:pt idx="1285">
                  <c:v>24.32</c:v>
                </c:pt>
                <c:pt idx="1286">
                  <c:v>17.29</c:v>
                </c:pt>
                <c:pt idx="1287">
                  <c:v>25.9</c:v>
                </c:pt>
                <c:pt idx="1288">
                  <c:v>39.4</c:v>
                </c:pt>
                <c:pt idx="1289">
                  <c:v>34.32</c:v>
                </c:pt>
                <c:pt idx="1290">
                  <c:v>19.95</c:v>
                </c:pt>
                <c:pt idx="1291">
                  <c:v>34.9</c:v>
                </c:pt>
                <c:pt idx="1292">
                  <c:v>23.21</c:v>
                </c:pt>
                <c:pt idx="1293">
                  <c:v>25.745000000000001</c:v>
                </c:pt>
                <c:pt idx="1294">
                  <c:v>25.175000000000001</c:v>
                </c:pt>
                <c:pt idx="1295">
                  <c:v>22</c:v>
                </c:pt>
                <c:pt idx="1296">
                  <c:v>26.125</c:v>
                </c:pt>
                <c:pt idx="1297">
                  <c:v>26.51</c:v>
                </c:pt>
                <c:pt idx="1298">
                  <c:v>27.454999999999998</c:v>
                </c:pt>
                <c:pt idx="1299">
                  <c:v>25.745000000000001</c:v>
                </c:pt>
                <c:pt idx="1300">
                  <c:v>30.36</c:v>
                </c:pt>
                <c:pt idx="1301">
                  <c:v>30.875</c:v>
                </c:pt>
                <c:pt idx="1302">
                  <c:v>20.8</c:v>
                </c:pt>
                <c:pt idx="1303">
                  <c:v>27.8</c:v>
                </c:pt>
                <c:pt idx="1304">
                  <c:v>24.605</c:v>
                </c:pt>
                <c:pt idx="1305">
                  <c:v>27.72</c:v>
                </c:pt>
                <c:pt idx="1306">
                  <c:v>21.85</c:v>
                </c:pt>
                <c:pt idx="1307">
                  <c:v>28.12</c:v>
                </c:pt>
                <c:pt idx="1308">
                  <c:v>30.2</c:v>
                </c:pt>
                <c:pt idx="1309">
                  <c:v>32.200000000000003</c:v>
                </c:pt>
                <c:pt idx="1310">
                  <c:v>26.315000000000001</c:v>
                </c:pt>
                <c:pt idx="1311">
                  <c:v>26.695</c:v>
                </c:pt>
                <c:pt idx="1312">
                  <c:v>42.9</c:v>
                </c:pt>
                <c:pt idx="1313">
                  <c:v>34.700000000000003</c:v>
                </c:pt>
                <c:pt idx="1314">
                  <c:v>23.655000000000001</c:v>
                </c:pt>
                <c:pt idx="1315">
                  <c:v>28.31</c:v>
                </c:pt>
                <c:pt idx="1316">
                  <c:v>20.6</c:v>
                </c:pt>
                <c:pt idx="1317">
                  <c:v>53.13</c:v>
                </c:pt>
                <c:pt idx="1318">
                  <c:v>39.71</c:v>
                </c:pt>
                <c:pt idx="1319">
                  <c:v>26.315000000000001</c:v>
                </c:pt>
                <c:pt idx="1320">
                  <c:v>31.065000000000001</c:v>
                </c:pt>
                <c:pt idx="1321">
                  <c:v>26.695</c:v>
                </c:pt>
                <c:pt idx="1322">
                  <c:v>38.83</c:v>
                </c:pt>
                <c:pt idx="1323">
                  <c:v>40.369999999999997</c:v>
                </c:pt>
                <c:pt idx="1324">
                  <c:v>25.934999999999999</c:v>
                </c:pt>
                <c:pt idx="1325">
                  <c:v>33.534999999999997</c:v>
                </c:pt>
                <c:pt idx="1326">
                  <c:v>32.869999999999997</c:v>
                </c:pt>
                <c:pt idx="1327">
                  <c:v>30.03</c:v>
                </c:pt>
                <c:pt idx="1328">
                  <c:v>24.225000000000001</c:v>
                </c:pt>
                <c:pt idx="1329">
                  <c:v>38.6</c:v>
                </c:pt>
                <c:pt idx="1330">
                  <c:v>25.74</c:v>
                </c:pt>
                <c:pt idx="1331">
                  <c:v>33.4</c:v>
                </c:pt>
                <c:pt idx="1332">
                  <c:v>44.7</c:v>
                </c:pt>
                <c:pt idx="1333">
                  <c:v>30.97</c:v>
                </c:pt>
                <c:pt idx="1334">
                  <c:v>31.92</c:v>
                </c:pt>
                <c:pt idx="1335">
                  <c:v>36.85</c:v>
                </c:pt>
                <c:pt idx="1336">
                  <c:v>25.8</c:v>
                </c:pt>
                <c:pt idx="1337">
                  <c:v>29.07</c:v>
                </c:pt>
              </c:numCache>
            </c:numRef>
          </c:xVal>
          <c:yVal>
            <c:numRef>
              <c:f>insurance!$A$2:$A$1339</c:f>
              <c:numCache>
                <c:formatCode>General</c:formatCode>
                <c:ptCount val="1338"/>
                <c:pt idx="0">
                  <c:v>19</c:v>
                </c:pt>
                <c:pt idx="1">
                  <c:v>18</c:v>
                </c:pt>
                <c:pt idx="2">
                  <c:v>28</c:v>
                </c:pt>
                <c:pt idx="3">
                  <c:v>33</c:v>
                </c:pt>
                <c:pt idx="4">
                  <c:v>32</c:v>
                </c:pt>
                <c:pt idx="5">
                  <c:v>31</c:v>
                </c:pt>
                <c:pt idx="6">
                  <c:v>46</c:v>
                </c:pt>
                <c:pt idx="7">
                  <c:v>37</c:v>
                </c:pt>
                <c:pt idx="8">
                  <c:v>37</c:v>
                </c:pt>
                <c:pt idx="9">
                  <c:v>60</c:v>
                </c:pt>
                <c:pt idx="10">
                  <c:v>25</c:v>
                </c:pt>
                <c:pt idx="11">
                  <c:v>62</c:v>
                </c:pt>
                <c:pt idx="12">
                  <c:v>23</c:v>
                </c:pt>
                <c:pt idx="13">
                  <c:v>56</c:v>
                </c:pt>
                <c:pt idx="14">
                  <c:v>27</c:v>
                </c:pt>
                <c:pt idx="15">
                  <c:v>19</c:v>
                </c:pt>
                <c:pt idx="16">
                  <c:v>52</c:v>
                </c:pt>
                <c:pt idx="17">
                  <c:v>23</c:v>
                </c:pt>
                <c:pt idx="18">
                  <c:v>56</c:v>
                </c:pt>
                <c:pt idx="19">
                  <c:v>30</c:v>
                </c:pt>
                <c:pt idx="20">
                  <c:v>60</c:v>
                </c:pt>
                <c:pt idx="21">
                  <c:v>30</c:v>
                </c:pt>
                <c:pt idx="22">
                  <c:v>18</c:v>
                </c:pt>
                <c:pt idx="23">
                  <c:v>34</c:v>
                </c:pt>
                <c:pt idx="24">
                  <c:v>37</c:v>
                </c:pt>
                <c:pt idx="25">
                  <c:v>59</c:v>
                </c:pt>
                <c:pt idx="26">
                  <c:v>63</c:v>
                </c:pt>
                <c:pt idx="27">
                  <c:v>55</c:v>
                </c:pt>
                <c:pt idx="28">
                  <c:v>23</c:v>
                </c:pt>
                <c:pt idx="29">
                  <c:v>31</c:v>
                </c:pt>
                <c:pt idx="30">
                  <c:v>22</c:v>
                </c:pt>
                <c:pt idx="31">
                  <c:v>18</c:v>
                </c:pt>
                <c:pt idx="32">
                  <c:v>19</c:v>
                </c:pt>
                <c:pt idx="33">
                  <c:v>63</c:v>
                </c:pt>
                <c:pt idx="34">
                  <c:v>28</c:v>
                </c:pt>
                <c:pt idx="35">
                  <c:v>19</c:v>
                </c:pt>
                <c:pt idx="36">
                  <c:v>62</c:v>
                </c:pt>
                <c:pt idx="37">
                  <c:v>26</c:v>
                </c:pt>
                <c:pt idx="38">
                  <c:v>35</c:v>
                </c:pt>
                <c:pt idx="39">
                  <c:v>60</c:v>
                </c:pt>
                <c:pt idx="40">
                  <c:v>24</c:v>
                </c:pt>
                <c:pt idx="41">
                  <c:v>31</c:v>
                </c:pt>
                <c:pt idx="42">
                  <c:v>41</c:v>
                </c:pt>
                <c:pt idx="43">
                  <c:v>37</c:v>
                </c:pt>
                <c:pt idx="44">
                  <c:v>38</c:v>
                </c:pt>
                <c:pt idx="45">
                  <c:v>55</c:v>
                </c:pt>
                <c:pt idx="46">
                  <c:v>18</c:v>
                </c:pt>
                <c:pt idx="47">
                  <c:v>28</c:v>
                </c:pt>
                <c:pt idx="48">
                  <c:v>60</c:v>
                </c:pt>
                <c:pt idx="49">
                  <c:v>36</c:v>
                </c:pt>
                <c:pt idx="50">
                  <c:v>18</c:v>
                </c:pt>
                <c:pt idx="51">
                  <c:v>21</c:v>
                </c:pt>
                <c:pt idx="52">
                  <c:v>48</c:v>
                </c:pt>
                <c:pt idx="53">
                  <c:v>36</c:v>
                </c:pt>
                <c:pt idx="54">
                  <c:v>40</c:v>
                </c:pt>
                <c:pt idx="55">
                  <c:v>58</c:v>
                </c:pt>
                <c:pt idx="56">
                  <c:v>58</c:v>
                </c:pt>
                <c:pt idx="57">
                  <c:v>18</c:v>
                </c:pt>
                <c:pt idx="58">
                  <c:v>53</c:v>
                </c:pt>
                <c:pt idx="59">
                  <c:v>34</c:v>
                </c:pt>
                <c:pt idx="60">
                  <c:v>43</c:v>
                </c:pt>
                <c:pt idx="61">
                  <c:v>25</c:v>
                </c:pt>
                <c:pt idx="62">
                  <c:v>64</c:v>
                </c:pt>
                <c:pt idx="63">
                  <c:v>28</c:v>
                </c:pt>
                <c:pt idx="64">
                  <c:v>20</c:v>
                </c:pt>
                <c:pt idx="65">
                  <c:v>19</c:v>
                </c:pt>
                <c:pt idx="66">
                  <c:v>61</c:v>
                </c:pt>
                <c:pt idx="67">
                  <c:v>40</c:v>
                </c:pt>
                <c:pt idx="68">
                  <c:v>40</c:v>
                </c:pt>
                <c:pt idx="69">
                  <c:v>28</c:v>
                </c:pt>
                <c:pt idx="70">
                  <c:v>27</c:v>
                </c:pt>
                <c:pt idx="71">
                  <c:v>31</c:v>
                </c:pt>
                <c:pt idx="72">
                  <c:v>53</c:v>
                </c:pt>
                <c:pt idx="73">
                  <c:v>58</c:v>
                </c:pt>
                <c:pt idx="74">
                  <c:v>44</c:v>
                </c:pt>
                <c:pt idx="75">
                  <c:v>57</c:v>
                </c:pt>
                <c:pt idx="76">
                  <c:v>29</c:v>
                </c:pt>
                <c:pt idx="77">
                  <c:v>21</c:v>
                </c:pt>
                <c:pt idx="78">
                  <c:v>22</c:v>
                </c:pt>
                <c:pt idx="79">
                  <c:v>41</c:v>
                </c:pt>
                <c:pt idx="80">
                  <c:v>31</c:v>
                </c:pt>
                <c:pt idx="81">
                  <c:v>45</c:v>
                </c:pt>
                <c:pt idx="82">
                  <c:v>22</c:v>
                </c:pt>
                <c:pt idx="83">
                  <c:v>48</c:v>
                </c:pt>
                <c:pt idx="84">
                  <c:v>37</c:v>
                </c:pt>
                <c:pt idx="85">
                  <c:v>45</c:v>
                </c:pt>
                <c:pt idx="86">
                  <c:v>57</c:v>
                </c:pt>
                <c:pt idx="87">
                  <c:v>56</c:v>
                </c:pt>
                <c:pt idx="88">
                  <c:v>46</c:v>
                </c:pt>
                <c:pt idx="89">
                  <c:v>55</c:v>
                </c:pt>
                <c:pt idx="90">
                  <c:v>21</c:v>
                </c:pt>
                <c:pt idx="91">
                  <c:v>53</c:v>
                </c:pt>
                <c:pt idx="92">
                  <c:v>59</c:v>
                </c:pt>
                <c:pt idx="93">
                  <c:v>35</c:v>
                </c:pt>
                <c:pt idx="94">
                  <c:v>64</c:v>
                </c:pt>
                <c:pt idx="95">
                  <c:v>28</c:v>
                </c:pt>
                <c:pt idx="96">
                  <c:v>54</c:v>
                </c:pt>
                <c:pt idx="97">
                  <c:v>55</c:v>
                </c:pt>
                <c:pt idx="98">
                  <c:v>56</c:v>
                </c:pt>
                <c:pt idx="99">
                  <c:v>38</c:v>
                </c:pt>
                <c:pt idx="100">
                  <c:v>41</c:v>
                </c:pt>
                <c:pt idx="101">
                  <c:v>30</c:v>
                </c:pt>
                <c:pt idx="102">
                  <c:v>18</c:v>
                </c:pt>
                <c:pt idx="103">
                  <c:v>61</c:v>
                </c:pt>
                <c:pt idx="104">
                  <c:v>34</c:v>
                </c:pt>
                <c:pt idx="105">
                  <c:v>20</c:v>
                </c:pt>
                <c:pt idx="106">
                  <c:v>19</c:v>
                </c:pt>
                <c:pt idx="107">
                  <c:v>26</c:v>
                </c:pt>
                <c:pt idx="108">
                  <c:v>29</c:v>
                </c:pt>
                <c:pt idx="109">
                  <c:v>63</c:v>
                </c:pt>
                <c:pt idx="110">
                  <c:v>54</c:v>
                </c:pt>
                <c:pt idx="111">
                  <c:v>55</c:v>
                </c:pt>
                <c:pt idx="112">
                  <c:v>37</c:v>
                </c:pt>
                <c:pt idx="113">
                  <c:v>21</c:v>
                </c:pt>
                <c:pt idx="114">
                  <c:v>52</c:v>
                </c:pt>
                <c:pt idx="115">
                  <c:v>60</c:v>
                </c:pt>
                <c:pt idx="116">
                  <c:v>58</c:v>
                </c:pt>
                <c:pt idx="117">
                  <c:v>29</c:v>
                </c:pt>
                <c:pt idx="118">
                  <c:v>49</c:v>
                </c:pt>
                <c:pt idx="119">
                  <c:v>37</c:v>
                </c:pt>
                <c:pt idx="120">
                  <c:v>44</c:v>
                </c:pt>
                <c:pt idx="121">
                  <c:v>18</c:v>
                </c:pt>
                <c:pt idx="122">
                  <c:v>20</c:v>
                </c:pt>
                <c:pt idx="123">
                  <c:v>44</c:v>
                </c:pt>
                <c:pt idx="124">
                  <c:v>47</c:v>
                </c:pt>
                <c:pt idx="125">
                  <c:v>26</c:v>
                </c:pt>
                <c:pt idx="126">
                  <c:v>19</c:v>
                </c:pt>
                <c:pt idx="127">
                  <c:v>52</c:v>
                </c:pt>
                <c:pt idx="128">
                  <c:v>32</c:v>
                </c:pt>
                <c:pt idx="129">
                  <c:v>38</c:v>
                </c:pt>
                <c:pt idx="130">
                  <c:v>59</c:v>
                </c:pt>
                <c:pt idx="131">
                  <c:v>61</c:v>
                </c:pt>
                <c:pt idx="132">
                  <c:v>53</c:v>
                </c:pt>
                <c:pt idx="133">
                  <c:v>19</c:v>
                </c:pt>
                <c:pt idx="134">
                  <c:v>20</c:v>
                </c:pt>
                <c:pt idx="135">
                  <c:v>22</c:v>
                </c:pt>
                <c:pt idx="136">
                  <c:v>19</c:v>
                </c:pt>
                <c:pt idx="137">
                  <c:v>22</c:v>
                </c:pt>
                <c:pt idx="138">
                  <c:v>54</c:v>
                </c:pt>
                <c:pt idx="139">
                  <c:v>22</c:v>
                </c:pt>
                <c:pt idx="140">
                  <c:v>34</c:v>
                </c:pt>
                <c:pt idx="141">
                  <c:v>26</c:v>
                </c:pt>
                <c:pt idx="142">
                  <c:v>34</c:v>
                </c:pt>
                <c:pt idx="143">
                  <c:v>29</c:v>
                </c:pt>
                <c:pt idx="144">
                  <c:v>30</c:v>
                </c:pt>
                <c:pt idx="145">
                  <c:v>29</c:v>
                </c:pt>
                <c:pt idx="146">
                  <c:v>46</c:v>
                </c:pt>
                <c:pt idx="147">
                  <c:v>51</c:v>
                </c:pt>
                <c:pt idx="148">
                  <c:v>53</c:v>
                </c:pt>
                <c:pt idx="149">
                  <c:v>19</c:v>
                </c:pt>
                <c:pt idx="150">
                  <c:v>35</c:v>
                </c:pt>
                <c:pt idx="151">
                  <c:v>48</c:v>
                </c:pt>
                <c:pt idx="152">
                  <c:v>32</c:v>
                </c:pt>
                <c:pt idx="153">
                  <c:v>42</c:v>
                </c:pt>
                <c:pt idx="154">
                  <c:v>40</c:v>
                </c:pt>
                <c:pt idx="155">
                  <c:v>44</c:v>
                </c:pt>
                <c:pt idx="156">
                  <c:v>48</c:v>
                </c:pt>
                <c:pt idx="157">
                  <c:v>18</c:v>
                </c:pt>
                <c:pt idx="158">
                  <c:v>30</c:v>
                </c:pt>
                <c:pt idx="159">
                  <c:v>50</c:v>
                </c:pt>
                <c:pt idx="160">
                  <c:v>42</c:v>
                </c:pt>
                <c:pt idx="161">
                  <c:v>18</c:v>
                </c:pt>
                <c:pt idx="162">
                  <c:v>54</c:v>
                </c:pt>
                <c:pt idx="163">
                  <c:v>32</c:v>
                </c:pt>
                <c:pt idx="164">
                  <c:v>37</c:v>
                </c:pt>
                <c:pt idx="165">
                  <c:v>47</c:v>
                </c:pt>
                <c:pt idx="166">
                  <c:v>20</c:v>
                </c:pt>
                <c:pt idx="167">
                  <c:v>32</c:v>
                </c:pt>
                <c:pt idx="168">
                  <c:v>19</c:v>
                </c:pt>
                <c:pt idx="169">
                  <c:v>27</c:v>
                </c:pt>
                <c:pt idx="170">
                  <c:v>63</c:v>
                </c:pt>
                <c:pt idx="171">
                  <c:v>49</c:v>
                </c:pt>
                <c:pt idx="172">
                  <c:v>18</c:v>
                </c:pt>
                <c:pt idx="173">
                  <c:v>35</c:v>
                </c:pt>
                <c:pt idx="174">
                  <c:v>24</c:v>
                </c:pt>
                <c:pt idx="175">
                  <c:v>63</c:v>
                </c:pt>
                <c:pt idx="176">
                  <c:v>38</c:v>
                </c:pt>
                <c:pt idx="177">
                  <c:v>54</c:v>
                </c:pt>
                <c:pt idx="178">
                  <c:v>46</c:v>
                </c:pt>
                <c:pt idx="179">
                  <c:v>41</c:v>
                </c:pt>
                <c:pt idx="180">
                  <c:v>58</c:v>
                </c:pt>
                <c:pt idx="181">
                  <c:v>18</c:v>
                </c:pt>
                <c:pt idx="182">
                  <c:v>22</c:v>
                </c:pt>
                <c:pt idx="183">
                  <c:v>44</c:v>
                </c:pt>
                <c:pt idx="184">
                  <c:v>44</c:v>
                </c:pt>
                <c:pt idx="185">
                  <c:v>36</c:v>
                </c:pt>
                <c:pt idx="186">
                  <c:v>26</c:v>
                </c:pt>
                <c:pt idx="187">
                  <c:v>30</c:v>
                </c:pt>
                <c:pt idx="188">
                  <c:v>41</c:v>
                </c:pt>
                <c:pt idx="189">
                  <c:v>29</c:v>
                </c:pt>
                <c:pt idx="190">
                  <c:v>61</c:v>
                </c:pt>
                <c:pt idx="191">
                  <c:v>36</c:v>
                </c:pt>
                <c:pt idx="192">
                  <c:v>25</c:v>
                </c:pt>
                <c:pt idx="193">
                  <c:v>56</c:v>
                </c:pt>
                <c:pt idx="194">
                  <c:v>18</c:v>
                </c:pt>
                <c:pt idx="195">
                  <c:v>19</c:v>
                </c:pt>
                <c:pt idx="196">
                  <c:v>39</c:v>
                </c:pt>
                <c:pt idx="197">
                  <c:v>45</c:v>
                </c:pt>
                <c:pt idx="198">
                  <c:v>51</c:v>
                </c:pt>
                <c:pt idx="199">
                  <c:v>64</c:v>
                </c:pt>
                <c:pt idx="200">
                  <c:v>19</c:v>
                </c:pt>
                <c:pt idx="201">
                  <c:v>48</c:v>
                </c:pt>
                <c:pt idx="202">
                  <c:v>60</c:v>
                </c:pt>
                <c:pt idx="203">
                  <c:v>27</c:v>
                </c:pt>
                <c:pt idx="204">
                  <c:v>46</c:v>
                </c:pt>
                <c:pt idx="205">
                  <c:v>28</c:v>
                </c:pt>
                <c:pt idx="206">
                  <c:v>59</c:v>
                </c:pt>
                <c:pt idx="207">
                  <c:v>35</c:v>
                </c:pt>
                <c:pt idx="208">
                  <c:v>63</c:v>
                </c:pt>
                <c:pt idx="209">
                  <c:v>40</c:v>
                </c:pt>
                <c:pt idx="210">
                  <c:v>20</c:v>
                </c:pt>
                <c:pt idx="211">
                  <c:v>40</c:v>
                </c:pt>
                <c:pt idx="212">
                  <c:v>24</c:v>
                </c:pt>
                <c:pt idx="213">
                  <c:v>34</c:v>
                </c:pt>
                <c:pt idx="214">
                  <c:v>45</c:v>
                </c:pt>
                <c:pt idx="215">
                  <c:v>41</c:v>
                </c:pt>
                <c:pt idx="216">
                  <c:v>53</c:v>
                </c:pt>
                <c:pt idx="217">
                  <c:v>27</c:v>
                </c:pt>
                <c:pt idx="218">
                  <c:v>26</c:v>
                </c:pt>
                <c:pt idx="219">
                  <c:v>24</c:v>
                </c:pt>
                <c:pt idx="220">
                  <c:v>34</c:v>
                </c:pt>
                <c:pt idx="221">
                  <c:v>53</c:v>
                </c:pt>
                <c:pt idx="222">
                  <c:v>32</c:v>
                </c:pt>
                <c:pt idx="223">
                  <c:v>19</c:v>
                </c:pt>
                <c:pt idx="224">
                  <c:v>42</c:v>
                </c:pt>
                <c:pt idx="225">
                  <c:v>55</c:v>
                </c:pt>
                <c:pt idx="226">
                  <c:v>28</c:v>
                </c:pt>
                <c:pt idx="227">
                  <c:v>58</c:v>
                </c:pt>
                <c:pt idx="228">
                  <c:v>41</c:v>
                </c:pt>
                <c:pt idx="229">
                  <c:v>47</c:v>
                </c:pt>
                <c:pt idx="230">
                  <c:v>42</c:v>
                </c:pt>
                <c:pt idx="231">
                  <c:v>59</c:v>
                </c:pt>
                <c:pt idx="232">
                  <c:v>19</c:v>
                </c:pt>
                <c:pt idx="233">
                  <c:v>59</c:v>
                </c:pt>
                <c:pt idx="234">
                  <c:v>39</c:v>
                </c:pt>
                <c:pt idx="235">
                  <c:v>40</c:v>
                </c:pt>
                <c:pt idx="236">
                  <c:v>18</c:v>
                </c:pt>
                <c:pt idx="237">
                  <c:v>31</c:v>
                </c:pt>
                <c:pt idx="238">
                  <c:v>19</c:v>
                </c:pt>
                <c:pt idx="239">
                  <c:v>44</c:v>
                </c:pt>
                <c:pt idx="240">
                  <c:v>23</c:v>
                </c:pt>
                <c:pt idx="241">
                  <c:v>33</c:v>
                </c:pt>
                <c:pt idx="242">
                  <c:v>55</c:v>
                </c:pt>
                <c:pt idx="243">
                  <c:v>40</c:v>
                </c:pt>
                <c:pt idx="244">
                  <c:v>63</c:v>
                </c:pt>
                <c:pt idx="245">
                  <c:v>54</c:v>
                </c:pt>
                <c:pt idx="246">
                  <c:v>60</c:v>
                </c:pt>
                <c:pt idx="247">
                  <c:v>24</c:v>
                </c:pt>
                <c:pt idx="248">
                  <c:v>19</c:v>
                </c:pt>
                <c:pt idx="249">
                  <c:v>29</c:v>
                </c:pt>
                <c:pt idx="250">
                  <c:v>18</c:v>
                </c:pt>
                <c:pt idx="251">
                  <c:v>63</c:v>
                </c:pt>
                <c:pt idx="252">
                  <c:v>54</c:v>
                </c:pt>
                <c:pt idx="253">
                  <c:v>27</c:v>
                </c:pt>
                <c:pt idx="254">
                  <c:v>50</c:v>
                </c:pt>
                <c:pt idx="255">
                  <c:v>55</c:v>
                </c:pt>
                <c:pt idx="256">
                  <c:v>56</c:v>
                </c:pt>
                <c:pt idx="257">
                  <c:v>38</c:v>
                </c:pt>
                <c:pt idx="258">
                  <c:v>51</c:v>
                </c:pt>
                <c:pt idx="259">
                  <c:v>19</c:v>
                </c:pt>
                <c:pt idx="260">
                  <c:v>58</c:v>
                </c:pt>
                <c:pt idx="261">
                  <c:v>20</c:v>
                </c:pt>
                <c:pt idx="262">
                  <c:v>52</c:v>
                </c:pt>
                <c:pt idx="263">
                  <c:v>19</c:v>
                </c:pt>
                <c:pt idx="264">
                  <c:v>53</c:v>
                </c:pt>
                <c:pt idx="265">
                  <c:v>46</c:v>
                </c:pt>
                <c:pt idx="266">
                  <c:v>40</c:v>
                </c:pt>
                <c:pt idx="267">
                  <c:v>59</c:v>
                </c:pt>
                <c:pt idx="268">
                  <c:v>45</c:v>
                </c:pt>
                <c:pt idx="269">
                  <c:v>49</c:v>
                </c:pt>
                <c:pt idx="270">
                  <c:v>18</c:v>
                </c:pt>
                <c:pt idx="271">
                  <c:v>50</c:v>
                </c:pt>
                <c:pt idx="272">
                  <c:v>41</c:v>
                </c:pt>
                <c:pt idx="273">
                  <c:v>50</c:v>
                </c:pt>
                <c:pt idx="274">
                  <c:v>25</c:v>
                </c:pt>
                <c:pt idx="275">
                  <c:v>47</c:v>
                </c:pt>
                <c:pt idx="276">
                  <c:v>19</c:v>
                </c:pt>
                <c:pt idx="277">
                  <c:v>22</c:v>
                </c:pt>
                <c:pt idx="278">
                  <c:v>59</c:v>
                </c:pt>
                <c:pt idx="279">
                  <c:v>51</c:v>
                </c:pt>
                <c:pt idx="280">
                  <c:v>40</c:v>
                </c:pt>
                <c:pt idx="281">
                  <c:v>54</c:v>
                </c:pt>
                <c:pt idx="282">
                  <c:v>30</c:v>
                </c:pt>
                <c:pt idx="283">
                  <c:v>55</c:v>
                </c:pt>
                <c:pt idx="284">
                  <c:v>52</c:v>
                </c:pt>
                <c:pt idx="285">
                  <c:v>46</c:v>
                </c:pt>
                <c:pt idx="286">
                  <c:v>46</c:v>
                </c:pt>
                <c:pt idx="287">
                  <c:v>63</c:v>
                </c:pt>
                <c:pt idx="288">
                  <c:v>59</c:v>
                </c:pt>
                <c:pt idx="289">
                  <c:v>52</c:v>
                </c:pt>
                <c:pt idx="290">
                  <c:v>28</c:v>
                </c:pt>
                <c:pt idx="291">
                  <c:v>29</c:v>
                </c:pt>
                <c:pt idx="292">
                  <c:v>25</c:v>
                </c:pt>
                <c:pt idx="293">
                  <c:v>22</c:v>
                </c:pt>
                <c:pt idx="294">
                  <c:v>25</c:v>
                </c:pt>
                <c:pt idx="295">
                  <c:v>18</c:v>
                </c:pt>
                <c:pt idx="296">
                  <c:v>19</c:v>
                </c:pt>
                <c:pt idx="297">
                  <c:v>47</c:v>
                </c:pt>
                <c:pt idx="298">
                  <c:v>31</c:v>
                </c:pt>
                <c:pt idx="299">
                  <c:v>48</c:v>
                </c:pt>
                <c:pt idx="300">
                  <c:v>36</c:v>
                </c:pt>
                <c:pt idx="301">
                  <c:v>53</c:v>
                </c:pt>
                <c:pt idx="302">
                  <c:v>56</c:v>
                </c:pt>
                <c:pt idx="303">
                  <c:v>28</c:v>
                </c:pt>
                <c:pt idx="304">
                  <c:v>57</c:v>
                </c:pt>
                <c:pt idx="305">
                  <c:v>29</c:v>
                </c:pt>
                <c:pt idx="306">
                  <c:v>28</c:v>
                </c:pt>
                <c:pt idx="307">
                  <c:v>30</c:v>
                </c:pt>
                <c:pt idx="308">
                  <c:v>58</c:v>
                </c:pt>
                <c:pt idx="309">
                  <c:v>41</c:v>
                </c:pt>
                <c:pt idx="310">
                  <c:v>50</c:v>
                </c:pt>
                <c:pt idx="311">
                  <c:v>19</c:v>
                </c:pt>
                <c:pt idx="312">
                  <c:v>43</c:v>
                </c:pt>
                <c:pt idx="313">
                  <c:v>49</c:v>
                </c:pt>
                <c:pt idx="314">
                  <c:v>27</c:v>
                </c:pt>
                <c:pt idx="315">
                  <c:v>52</c:v>
                </c:pt>
                <c:pt idx="316">
                  <c:v>50</c:v>
                </c:pt>
                <c:pt idx="317">
                  <c:v>54</c:v>
                </c:pt>
                <c:pt idx="318">
                  <c:v>44</c:v>
                </c:pt>
                <c:pt idx="319">
                  <c:v>32</c:v>
                </c:pt>
                <c:pt idx="320">
                  <c:v>34</c:v>
                </c:pt>
                <c:pt idx="321">
                  <c:v>26</c:v>
                </c:pt>
                <c:pt idx="322">
                  <c:v>34</c:v>
                </c:pt>
                <c:pt idx="323">
                  <c:v>57</c:v>
                </c:pt>
                <c:pt idx="324">
                  <c:v>29</c:v>
                </c:pt>
                <c:pt idx="325">
                  <c:v>40</c:v>
                </c:pt>
                <c:pt idx="326">
                  <c:v>27</c:v>
                </c:pt>
                <c:pt idx="327">
                  <c:v>45</c:v>
                </c:pt>
                <c:pt idx="328">
                  <c:v>64</c:v>
                </c:pt>
                <c:pt idx="329">
                  <c:v>52</c:v>
                </c:pt>
                <c:pt idx="330">
                  <c:v>61</c:v>
                </c:pt>
                <c:pt idx="331">
                  <c:v>52</c:v>
                </c:pt>
                <c:pt idx="332">
                  <c:v>61</c:v>
                </c:pt>
                <c:pt idx="333">
                  <c:v>56</c:v>
                </c:pt>
                <c:pt idx="334">
                  <c:v>43</c:v>
                </c:pt>
                <c:pt idx="335">
                  <c:v>64</c:v>
                </c:pt>
                <c:pt idx="336">
                  <c:v>60</c:v>
                </c:pt>
                <c:pt idx="337">
                  <c:v>62</c:v>
                </c:pt>
                <c:pt idx="338">
                  <c:v>50</c:v>
                </c:pt>
                <c:pt idx="339">
                  <c:v>46</c:v>
                </c:pt>
                <c:pt idx="340">
                  <c:v>24</c:v>
                </c:pt>
                <c:pt idx="341">
                  <c:v>62</c:v>
                </c:pt>
                <c:pt idx="342">
                  <c:v>60</c:v>
                </c:pt>
                <c:pt idx="343">
                  <c:v>63</c:v>
                </c:pt>
                <c:pt idx="344">
                  <c:v>49</c:v>
                </c:pt>
                <c:pt idx="345">
                  <c:v>34</c:v>
                </c:pt>
                <c:pt idx="346">
                  <c:v>33</c:v>
                </c:pt>
                <c:pt idx="347">
                  <c:v>46</c:v>
                </c:pt>
                <c:pt idx="348">
                  <c:v>36</c:v>
                </c:pt>
                <c:pt idx="349">
                  <c:v>19</c:v>
                </c:pt>
                <c:pt idx="350">
                  <c:v>57</c:v>
                </c:pt>
                <c:pt idx="351">
                  <c:v>50</c:v>
                </c:pt>
                <c:pt idx="352">
                  <c:v>30</c:v>
                </c:pt>
                <c:pt idx="353">
                  <c:v>33</c:v>
                </c:pt>
                <c:pt idx="354">
                  <c:v>18</c:v>
                </c:pt>
                <c:pt idx="355">
                  <c:v>46</c:v>
                </c:pt>
                <c:pt idx="356">
                  <c:v>46</c:v>
                </c:pt>
                <c:pt idx="357">
                  <c:v>47</c:v>
                </c:pt>
                <c:pt idx="358">
                  <c:v>23</c:v>
                </c:pt>
                <c:pt idx="359">
                  <c:v>18</c:v>
                </c:pt>
                <c:pt idx="360">
                  <c:v>48</c:v>
                </c:pt>
                <c:pt idx="361">
                  <c:v>35</c:v>
                </c:pt>
                <c:pt idx="362">
                  <c:v>19</c:v>
                </c:pt>
                <c:pt idx="363">
                  <c:v>21</c:v>
                </c:pt>
                <c:pt idx="364">
                  <c:v>21</c:v>
                </c:pt>
                <c:pt idx="365">
                  <c:v>49</c:v>
                </c:pt>
                <c:pt idx="366">
                  <c:v>56</c:v>
                </c:pt>
                <c:pt idx="367">
                  <c:v>42</c:v>
                </c:pt>
                <c:pt idx="368">
                  <c:v>44</c:v>
                </c:pt>
                <c:pt idx="369">
                  <c:v>18</c:v>
                </c:pt>
                <c:pt idx="370">
                  <c:v>61</c:v>
                </c:pt>
                <c:pt idx="371">
                  <c:v>57</c:v>
                </c:pt>
                <c:pt idx="372">
                  <c:v>42</c:v>
                </c:pt>
                <c:pt idx="373">
                  <c:v>26</c:v>
                </c:pt>
                <c:pt idx="374">
                  <c:v>20</c:v>
                </c:pt>
                <c:pt idx="375">
                  <c:v>23</c:v>
                </c:pt>
                <c:pt idx="376">
                  <c:v>39</c:v>
                </c:pt>
                <c:pt idx="377">
                  <c:v>24</c:v>
                </c:pt>
                <c:pt idx="378">
                  <c:v>64</c:v>
                </c:pt>
                <c:pt idx="379">
                  <c:v>62</c:v>
                </c:pt>
                <c:pt idx="380">
                  <c:v>27</c:v>
                </c:pt>
                <c:pt idx="381">
                  <c:v>55</c:v>
                </c:pt>
                <c:pt idx="382">
                  <c:v>55</c:v>
                </c:pt>
                <c:pt idx="383">
                  <c:v>35</c:v>
                </c:pt>
                <c:pt idx="384">
                  <c:v>44</c:v>
                </c:pt>
                <c:pt idx="385">
                  <c:v>19</c:v>
                </c:pt>
                <c:pt idx="386">
                  <c:v>58</c:v>
                </c:pt>
                <c:pt idx="387">
                  <c:v>50</c:v>
                </c:pt>
                <c:pt idx="388">
                  <c:v>26</c:v>
                </c:pt>
                <c:pt idx="389">
                  <c:v>24</c:v>
                </c:pt>
                <c:pt idx="390">
                  <c:v>48</c:v>
                </c:pt>
                <c:pt idx="391">
                  <c:v>19</c:v>
                </c:pt>
                <c:pt idx="392">
                  <c:v>48</c:v>
                </c:pt>
                <c:pt idx="393">
                  <c:v>49</c:v>
                </c:pt>
                <c:pt idx="394">
                  <c:v>46</c:v>
                </c:pt>
                <c:pt idx="395">
                  <c:v>46</c:v>
                </c:pt>
                <c:pt idx="396">
                  <c:v>43</c:v>
                </c:pt>
                <c:pt idx="397">
                  <c:v>21</c:v>
                </c:pt>
                <c:pt idx="398">
                  <c:v>64</c:v>
                </c:pt>
                <c:pt idx="399">
                  <c:v>18</c:v>
                </c:pt>
                <c:pt idx="400">
                  <c:v>51</c:v>
                </c:pt>
                <c:pt idx="401">
                  <c:v>47</c:v>
                </c:pt>
                <c:pt idx="402">
                  <c:v>64</c:v>
                </c:pt>
                <c:pt idx="403">
                  <c:v>49</c:v>
                </c:pt>
                <c:pt idx="404">
                  <c:v>31</c:v>
                </c:pt>
                <c:pt idx="405">
                  <c:v>52</c:v>
                </c:pt>
                <c:pt idx="406">
                  <c:v>33</c:v>
                </c:pt>
                <c:pt idx="407">
                  <c:v>47</c:v>
                </c:pt>
                <c:pt idx="408">
                  <c:v>38</c:v>
                </c:pt>
                <c:pt idx="409">
                  <c:v>32</c:v>
                </c:pt>
                <c:pt idx="410">
                  <c:v>19</c:v>
                </c:pt>
                <c:pt idx="411">
                  <c:v>44</c:v>
                </c:pt>
                <c:pt idx="412">
                  <c:v>26</c:v>
                </c:pt>
                <c:pt idx="413">
                  <c:v>25</c:v>
                </c:pt>
                <c:pt idx="414">
                  <c:v>19</c:v>
                </c:pt>
                <c:pt idx="415">
                  <c:v>43</c:v>
                </c:pt>
                <c:pt idx="416">
                  <c:v>52</c:v>
                </c:pt>
                <c:pt idx="417">
                  <c:v>36</c:v>
                </c:pt>
                <c:pt idx="418">
                  <c:v>64</c:v>
                </c:pt>
                <c:pt idx="419">
                  <c:v>63</c:v>
                </c:pt>
                <c:pt idx="420">
                  <c:v>64</c:v>
                </c:pt>
                <c:pt idx="421">
                  <c:v>61</c:v>
                </c:pt>
                <c:pt idx="422">
                  <c:v>40</c:v>
                </c:pt>
                <c:pt idx="423">
                  <c:v>25</c:v>
                </c:pt>
                <c:pt idx="424">
                  <c:v>48</c:v>
                </c:pt>
                <c:pt idx="425">
                  <c:v>45</c:v>
                </c:pt>
                <c:pt idx="426">
                  <c:v>38</c:v>
                </c:pt>
                <c:pt idx="427">
                  <c:v>18</c:v>
                </c:pt>
                <c:pt idx="428">
                  <c:v>21</c:v>
                </c:pt>
                <c:pt idx="429">
                  <c:v>27</c:v>
                </c:pt>
                <c:pt idx="430">
                  <c:v>19</c:v>
                </c:pt>
                <c:pt idx="431">
                  <c:v>29</c:v>
                </c:pt>
                <c:pt idx="432">
                  <c:v>42</c:v>
                </c:pt>
                <c:pt idx="433">
                  <c:v>60</c:v>
                </c:pt>
                <c:pt idx="434">
                  <c:v>31</c:v>
                </c:pt>
                <c:pt idx="435">
                  <c:v>60</c:v>
                </c:pt>
                <c:pt idx="436">
                  <c:v>22</c:v>
                </c:pt>
                <c:pt idx="437">
                  <c:v>35</c:v>
                </c:pt>
                <c:pt idx="438">
                  <c:v>52</c:v>
                </c:pt>
                <c:pt idx="439">
                  <c:v>26</c:v>
                </c:pt>
                <c:pt idx="440">
                  <c:v>31</c:v>
                </c:pt>
                <c:pt idx="441">
                  <c:v>33</c:v>
                </c:pt>
                <c:pt idx="442">
                  <c:v>18</c:v>
                </c:pt>
                <c:pt idx="443">
                  <c:v>59</c:v>
                </c:pt>
                <c:pt idx="444">
                  <c:v>56</c:v>
                </c:pt>
                <c:pt idx="445">
                  <c:v>45</c:v>
                </c:pt>
                <c:pt idx="446">
                  <c:v>60</c:v>
                </c:pt>
                <c:pt idx="447">
                  <c:v>56</c:v>
                </c:pt>
                <c:pt idx="448">
                  <c:v>40</c:v>
                </c:pt>
                <c:pt idx="449">
                  <c:v>35</c:v>
                </c:pt>
                <c:pt idx="450">
                  <c:v>39</c:v>
                </c:pt>
                <c:pt idx="451">
                  <c:v>30</c:v>
                </c:pt>
                <c:pt idx="452">
                  <c:v>24</c:v>
                </c:pt>
                <c:pt idx="453">
                  <c:v>20</c:v>
                </c:pt>
                <c:pt idx="454">
                  <c:v>32</c:v>
                </c:pt>
                <c:pt idx="455">
                  <c:v>59</c:v>
                </c:pt>
                <c:pt idx="456">
                  <c:v>55</c:v>
                </c:pt>
                <c:pt idx="457">
                  <c:v>57</c:v>
                </c:pt>
                <c:pt idx="458">
                  <c:v>56</c:v>
                </c:pt>
                <c:pt idx="459">
                  <c:v>40</c:v>
                </c:pt>
                <c:pt idx="460">
                  <c:v>49</c:v>
                </c:pt>
                <c:pt idx="461">
                  <c:v>42</c:v>
                </c:pt>
                <c:pt idx="462">
                  <c:v>62</c:v>
                </c:pt>
                <c:pt idx="463">
                  <c:v>56</c:v>
                </c:pt>
                <c:pt idx="464">
                  <c:v>19</c:v>
                </c:pt>
                <c:pt idx="465">
                  <c:v>30</c:v>
                </c:pt>
                <c:pt idx="466">
                  <c:v>60</c:v>
                </c:pt>
                <c:pt idx="467">
                  <c:v>56</c:v>
                </c:pt>
                <c:pt idx="468">
                  <c:v>28</c:v>
                </c:pt>
                <c:pt idx="469">
                  <c:v>18</c:v>
                </c:pt>
                <c:pt idx="470">
                  <c:v>27</c:v>
                </c:pt>
                <c:pt idx="471">
                  <c:v>18</c:v>
                </c:pt>
                <c:pt idx="472">
                  <c:v>19</c:v>
                </c:pt>
                <c:pt idx="473">
                  <c:v>47</c:v>
                </c:pt>
                <c:pt idx="474">
                  <c:v>54</c:v>
                </c:pt>
                <c:pt idx="475">
                  <c:v>61</c:v>
                </c:pt>
                <c:pt idx="476">
                  <c:v>24</c:v>
                </c:pt>
                <c:pt idx="477">
                  <c:v>25</c:v>
                </c:pt>
                <c:pt idx="478">
                  <c:v>21</c:v>
                </c:pt>
                <c:pt idx="479">
                  <c:v>23</c:v>
                </c:pt>
                <c:pt idx="480">
                  <c:v>63</c:v>
                </c:pt>
                <c:pt idx="481">
                  <c:v>49</c:v>
                </c:pt>
                <c:pt idx="482">
                  <c:v>18</c:v>
                </c:pt>
                <c:pt idx="483">
                  <c:v>51</c:v>
                </c:pt>
                <c:pt idx="484">
                  <c:v>48</c:v>
                </c:pt>
                <c:pt idx="485">
                  <c:v>31</c:v>
                </c:pt>
                <c:pt idx="486">
                  <c:v>54</c:v>
                </c:pt>
                <c:pt idx="487">
                  <c:v>19</c:v>
                </c:pt>
                <c:pt idx="488">
                  <c:v>44</c:v>
                </c:pt>
                <c:pt idx="489">
                  <c:v>53</c:v>
                </c:pt>
                <c:pt idx="490">
                  <c:v>19</c:v>
                </c:pt>
                <c:pt idx="491">
                  <c:v>61</c:v>
                </c:pt>
                <c:pt idx="492">
                  <c:v>18</c:v>
                </c:pt>
                <c:pt idx="493">
                  <c:v>61</c:v>
                </c:pt>
                <c:pt idx="494">
                  <c:v>21</c:v>
                </c:pt>
                <c:pt idx="495">
                  <c:v>20</c:v>
                </c:pt>
                <c:pt idx="496">
                  <c:v>31</c:v>
                </c:pt>
                <c:pt idx="497">
                  <c:v>45</c:v>
                </c:pt>
                <c:pt idx="498">
                  <c:v>44</c:v>
                </c:pt>
                <c:pt idx="499">
                  <c:v>62</c:v>
                </c:pt>
                <c:pt idx="500">
                  <c:v>29</c:v>
                </c:pt>
                <c:pt idx="501">
                  <c:v>43</c:v>
                </c:pt>
                <c:pt idx="502">
                  <c:v>51</c:v>
                </c:pt>
                <c:pt idx="503">
                  <c:v>19</c:v>
                </c:pt>
                <c:pt idx="504">
                  <c:v>38</c:v>
                </c:pt>
                <c:pt idx="505">
                  <c:v>37</c:v>
                </c:pt>
                <c:pt idx="506">
                  <c:v>22</c:v>
                </c:pt>
                <c:pt idx="507">
                  <c:v>21</c:v>
                </c:pt>
                <c:pt idx="508">
                  <c:v>24</c:v>
                </c:pt>
                <c:pt idx="509">
                  <c:v>57</c:v>
                </c:pt>
                <c:pt idx="510">
                  <c:v>56</c:v>
                </c:pt>
                <c:pt idx="511">
                  <c:v>27</c:v>
                </c:pt>
                <c:pt idx="512">
                  <c:v>51</c:v>
                </c:pt>
                <c:pt idx="513">
                  <c:v>19</c:v>
                </c:pt>
                <c:pt idx="514">
                  <c:v>39</c:v>
                </c:pt>
                <c:pt idx="515">
                  <c:v>58</c:v>
                </c:pt>
                <c:pt idx="516">
                  <c:v>20</c:v>
                </c:pt>
                <c:pt idx="517">
                  <c:v>45</c:v>
                </c:pt>
                <c:pt idx="518">
                  <c:v>35</c:v>
                </c:pt>
                <c:pt idx="519">
                  <c:v>31</c:v>
                </c:pt>
                <c:pt idx="520">
                  <c:v>50</c:v>
                </c:pt>
                <c:pt idx="521">
                  <c:v>32</c:v>
                </c:pt>
                <c:pt idx="522">
                  <c:v>51</c:v>
                </c:pt>
                <c:pt idx="523">
                  <c:v>38</c:v>
                </c:pt>
                <c:pt idx="524">
                  <c:v>42</c:v>
                </c:pt>
                <c:pt idx="525">
                  <c:v>18</c:v>
                </c:pt>
                <c:pt idx="526">
                  <c:v>19</c:v>
                </c:pt>
                <c:pt idx="527">
                  <c:v>51</c:v>
                </c:pt>
                <c:pt idx="528">
                  <c:v>46</c:v>
                </c:pt>
                <c:pt idx="529">
                  <c:v>18</c:v>
                </c:pt>
                <c:pt idx="530">
                  <c:v>57</c:v>
                </c:pt>
                <c:pt idx="531">
                  <c:v>62</c:v>
                </c:pt>
                <c:pt idx="532">
                  <c:v>59</c:v>
                </c:pt>
                <c:pt idx="533">
                  <c:v>37</c:v>
                </c:pt>
                <c:pt idx="534">
                  <c:v>64</c:v>
                </c:pt>
                <c:pt idx="535">
                  <c:v>38</c:v>
                </c:pt>
                <c:pt idx="536">
                  <c:v>33</c:v>
                </c:pt>
                <c:pt idx="537">
                  <c:v>46</c:v>
                </c:pt>
                <c:pt idx="538">
                  <c:v>46</c:v>
                </c:pt>
                <c:pt idx="539">
                  <c:v>53</c:v>
                </c:pt>
                <c:pt idx="540">
                  <c:v>34</c:v>
                </c:pt>
                <c:pt idx="541">
                  <c:v>20</c:v>
                </c:pt>
                <c:pt idx="542">
                  <c:v>63</c:v>
                </c:pt>
                <c:pt idx="543">
                  <c:v>54</c:v>
                </c:pt>
                <c:pt idx="544">
                  <c:v>54</c:v>
                </c:pt>
                <c:pt idx="545">
                  <c:v>49</c:v>
                </c:pt>
                <c:pt idx="546">
                  <c:v>28</c:v>
                </c:pt>
                <c:pt idx="547">
                  <c:v>54</c:v>
                </c:pt>
                <c:pt idx="548">
                  <c:v>25</c:v>
                </c:pt>
                <c:pt idx="549">
                  <c:v>43</c:v>
                </c:pt>
                <c:pt idx="550">
                  <c:v>63</c:v>
                </c:pt>
                <c:pt idx="551">
                  <c:v>32</c:v>
                </c:pt>
                <c:pt idx="552">
                  <c:v>62</c:v>
                </c:pt>
                <c:pt idx="553">
                  <c:v>52</c:v>
                </c:pt>
                <c:pt idx="554">
                  <c:v>25</c:v>
                </c:pt>
                <c:pt idx="555">
                  <c:v>28</c:v>
                </c:pt>
                <c:pt idx="556">
                  <c:v>46</c:v>
                </c:pt>
                <c:pt idx="557">
                  <c:v>34</c:v>
                </c:pt>
                <c:pt idx="558">
                  <c:v>35</c:v>
                </c:pt>
                <c:pt idx="559">
                  <c:v>19</c:v>
                </c:pt>
                <c:pt idx="560">
                  <c:v>46</c:v>
                </c:pt>
                <c:pt idx="561">
                  <c:v>54</c:v>
                </c:pt>
                <c:pt idx="562">
                  <c:v>27</c:v>
                </c:pt>
                <c:pt idx="563">
                  <c:v>50</c:v>
                </c:pt>
                <c:pt idx="564">
                  <c:v>18</c:v>
                </c:pt>
                <c:pt idx="565">
                  <c:v>19</c:v>
                </c:pt>
                <c:pt idx="566">
                  <c:v>38</c:v>
                </c:pt>
                <c:pt idx="567">
                  <c:v>41</c:v>
                </c:pt>
                <c:pt idx="568">
                  <c:v>49</c:v>
                </c:pt>
                <c:pt idx="569">
                  <c:v>48</c:v>
                </c:pt>
                <c:pt idx="570">
                  <c:v>31</c:v>
                </c:pt>
                <c:pt idx="571">
                  <c:v>18</c:v>
                </c:pt>
                <c:pt idx="572">
                  <c:v>30</c:v>
                </c:pt>
                <c:pt idx="573">
                  <c:v>62</c:v>
                </c:pt>
                <c:pt idx="574">
                  <c:v>57</c:v>
                </c:pt>
                <c:pt idx="575">
                  <c:v>58</c:v>
                </c:pt>
                <c:pt idx="576">
                  <c:v>22</c:v>
                </c:pt>
                <c:pt idx="577">
                  <c:v>31</c:v>
                </c:pt>
                <c:pt idx="578">
                  <c:v>52</c:v>
                </c:pt>
                <c:pt idx="579">
                  <c:v>25</c:v>
                </c:pt>
                <c:pt idx="580">
                  <c:v>59</c:v>
                </c:pt>
                <c:pt idx="581">
                  <c:v>19</c:v>
                </c:pt>
                <c:pt idx="582">
                  <c:v>39</c:v>
                </c:pt>
                <c:pt idx="583">
                  <c:v>32</c:v>
                </c:pt>
                <c:pt idx="584">
                  <c:v>19</c:v>
                </c:pt>
                <c:pt idx="585">
                  <c:v>33</c:v>
                </c:pt>
                <c:pt idx="586">
                  <c:v>21</c:v>
                </c:pt>
                <c:pt idx="587">
                  <c:v>34</c:v>
                </c:pt>
                <c:pt idx="588">
                  <c:v>61</c:v>
                </c:pt>
                <c:pt idx="589">
                  <c:v>38</c:v>
                </c:pt>
                <c:pt idx="590">
                  <c:v>58</c:v>
                </c:pt>
                <c:pt idx="591">
                  <c:v>47</c:v>
                </c:pt>
                <c:pt idx="592">
                  <c:v>20</c:v>
                </c:pt>
                <c:pt idx="593">
                  <c:v>21</c:v>
                </c:pt>
                <c:pt idx="594">
                  <c:v>41</c:v>
                </c:pt>
                <c:pt idx="595">
                  <c:v>46</c:v>
                </c:pt>
                <c:pt idx="596">
                  <c:v>42</c:v>
                </c:pt>
                <c:pt idx="597">
                  <c:v>34</c:v>
                </c:pt>
                <c:pt idx="598">
                  <c:v>43</c:v>
                </c:pt>
                <c:pt idx="599">
                  <c:v>52</c:v>
                </c:pt>
                <c:pt idx="600">
                  <c:v>18</c:v>
                </c:pt>
                <c:pt idx="601">
                  <c:v>51</c:v>
                </c:pt>
                <c:pt idx="602">
                  <c:v>56</c:v>
                </c:pt>
                <c:pt idx="603">
                  <c:v>64</c:v>
                </c:pt>
                <c:pt idx="604">
                  <c:v>19</c:v>
                </c:pt>
                <c:pt idx="605">
                  <c:v>51</c:v>
                </c:pt>
                <c:pt idx="606">
                  <c:v>27</c:v>
                </c:pt>
                <c:pt idx="607">
                  <c:v>59</c:v>
                </c:pt>
                <c:pt idx="608">
                  <c:v>28</c:v>
                </c:pt>
                <c:pt idx="609">
                  <c:v>30</c:v>
                </c:pt>
                <c:pt idx="610">
                  <c:v>47</c:v>
                </c:pt>
                <c:pt idx="611">
                  <c:v>38</c:v>
                </c:pt>
                <c:pt idx="612">
                  <c:v>18</c:v>
                </c:pt>
                <c:pt idx="613">
                  <c:v>34</c:v>
                </c:pt>
                <c:pt idx="614">
                  <c:v>20</c:v>
                </c:pt>
                <c:pt idx="615">
                  <c:v>47</c:v>
                </c:pt>
                <c:pt idx="616">
                  <c:v>56</c:v>
                </c:pt>
                <c:pt idx="617">
                  <c:v>49</c:v>
                </c:pt>
                <c:pt idx="618">
                  <c:v>19</c:v>
                </c:pt>
                <c:pt idx="619">
                  <c:v>55</c:v>
                </c:pt>
                <c:pt idx="620">
                  <c:v>30</c:v>
                </c:pt>
                <c:pt idx="621">
                  <c:v>37</c:v>
                </c:pt>
                <c:pt idx="622">
                  <c:v>49</c:v>
                </c:pt>
                <c:pt idx="623">
                  <c:v>18</c:v>
                </c:pt>
                <c:pt idx="624">
                  <c:v>59</c:v>
                </c:pt>
                <c:pt idx="625">
                  <c:v>29</c:v>
                </c:pt>
                <c:pt idx="626">
                  <c:v>36</c:v>
                </c:pt>
                <c:pt idx="627">
                  <c:v>33</c:v>
                </c:pt>
                <c:pt idx="628">
                  <c:v>58</c:v>
                </c:pt>
                <c:pt idx="629">
                  <c:v>44</c:v>
                </c:pt>
                <c:pt idx="630">
                  <c:v>53</c:v>
                </c:pt>
                <c:pt idx="631">
                  <c:v>24</c:v>
                </c:pt>
                <c:pt idx="632">
                  <c:v>29</c:v>
                </c:pt>
                <c:pt idx="633">
                  <c:v>40</c:v>
                </c:pt>
                <c:pt idx="634">
                  <c:v>51</c:v>
                </c:pt>
                <c:pt idx="635">
                  <c:v>64</c:v>
                </c:pt>
                <c:pt idx="636">
                  <c:v>19</c:v>
                </c:pt>
                <c:pt idx="637">
                  <c:v>35</c:v>
                </c:pt>
                <c:pt idx="638">
                  <c:v>39</c:v>
                </c:pt>
                <c:pt idx="639">
                  <c:v>56</c:v>
                </c:pt>
                <c:pt idx="640">
                  <c:v>33</c:v>
                </c:pt>
                <c:pt idx="641">
                  <c:v>42</c:v>
                </c:pt>
                <c:pt idx="642">
                  <c:v>61</c:v>
                </c:pt>
                <c:pt idx="643">
                  <c:v>23</c:v>
                </c:pt>
                <c:pt idx="644">
                  <c:v>43</c:v>
                </c:pt>
                <c:pt idx="645">
                  <c:v>48</c:v>
                </c:pt>
                <c:pt idx="646">
                  <c:v>39</c:v>
                </c:pt>
                <c:pt idx="647">
                  <c:v>40</c:v>
                </c:pt>
                <c:pt idx="648">
                  <c:v>18</c:v>
                </c:pt>
                <c:pt idx="649">
                  <c:v>58</c:v>
                </c:pt>
                <c:pt idx="650">
                  <c:v>49</c:v>
                </c:pt>
                <c:pt idx="651">
                  <c:v>53</c:v>
                </c:pt>
                <c:pt idx="652">
                  <c:v>48</c:v>
                </c:pt>
                <c:pt idx="653">
                  <c:v>45</c:v>
                </c:pt>
                <c:pt idx="654">
                  <c:v>59</c:v>
                </c:pt>
                <c:pt idx="655">
                  <c:v>52</c:v>
                </c:pt>
                <c:pt idx="656">
                  <c:v>26</c:v>
                </c:pt>
                <c:pt idx="657">
                  <c:v>27</c:v>
                </c:pt>
                <c:pt idx="658">
                  <c:v>48</c:v>
                </c:pt>
                <c:pt idx="659">
                  <c:v>57</c:v>
                </c:pt>
                <c:pt idx="660">
                  <c:v>37</c:v>
                </c:pt>
                <c:pt idx="661">
                  <c:v>57</c:v>
                </c:pt>
                <c:pt idx="662">
                  <c:v>32</c:v>
                </c:pt>
                <c:pt idx="663">
                  <c:v>18</c:v>
                </c:pt>
                <c:pt idx="664">
                  <c:v>64</c:v>
                </c:pt>
                <c:pt idx="665">
                  <c:v>43</c:v>
                </c:pt>
                <c:pt idx="666">
                  <c:v>49</c:v>
                </c:pt>
                <c:pt idx="667">
                  <c:v>40</c:v>
                </c:pt>
                <c:pt idx="668">
                  <c:v>62</c:v>
                </c:pt>
                <c:pt idx="669">
                  <c:v>40</c:v>
                </c:pt>
                <c:pt idx="670">
                  <c:v>30</c:v>
                </c:pt>
                <c:pt idx="671">
                  <c:v>29</c:v>
                </c:pt>
                <c:pt idx="672">
                  <c:v>36</c:v>
                </c:pt>
                <c:pt idx="673">
                  <c:v>41</c:v>
                </c:pt>
                <c:pt idx="674">
                  <c:v>44</c:v>
                </c:pt>
                <c:pt idx="675">
                  <c:v>45</c:v>
                </c:pt>
                <c:pt idx="676">
                  <c:v>55</c:v>
                </c:pt>
                <c:pt idx="677">
                  <c:v>60</c:v>
                </c:pt>
                <c:pt idx="678">
                  <c:v>56</c:v>
                </c:pt>
                <c:pt idx="679">
                  <c:v>49</c:v>
                </c:pt>
                <c:pt idx="680">
                  <c:v>21</c:v>
                </c:pt>
                <c:pt idx="681">
                  <c:v>19</c:v>
                </c:pt>
                <c:pt idx="682">
                  <c:v>39</c:v>
                </c:pt>
                <c:pt idx="683">
                  <c:v>53</c:v>
                </c:pt>
                <c:pt idx="684">
                  <c:v>33</c:v>
                </c:pt>
                <c:pt idx="685">
                  <c:v>53</c:v>
                </c:pt>
                <c:pt idx="686">
                  <c:v>42</c:v>
                </c:pt>
                <c:pt idx="687">
                  <c:v>40</c:v>
                </c:pt>
                <c:pt idx="688">
                  <c:v>47</c:v>
                </c:pt>
                <c:pt idx="689">
                  <c:v>27</c:v>
                </c:pt>
                <c:pt idx="690">
                  <c:v>21</c:v>
                </c:pt>
                <c:pt idx="691">
                  <c:v>47</c:v>
                </c:pt>
                <c:pt idx="692">
                  <c:v>20</c:v>
                </c:pt>
                <c:pt idx="693">
                  <c:v>24</c:v>
                </c:pt>
                <c:pt idx="694">
                  <c:v>27</c:v>
                </c:pt>
                <c:pt idx="695">
                  <c:v>26</c:v>
                </c:pt>
                <c:pt idx="696">
                  <c:v>53</c:v>
                </c:pt>
                <c:pt idx="697">
                  <c:v>41</c:v>
                </c:pt>
                <c:pt idx="698">
                  <c:v>56</c:v>
                </c:pt>
                <c:pt idx="699">
                  <c:v>23</c:v>
                </c:pt>
                <c:pt idx="700">
                  <c:v>21</c:v>
                </c:pt>
                <c:pt idx="701">
                  <c:v>50</c:v>
                </c:pt>
                <c:pt idx="702">
                  <c:v>53</c:v>
                </c:pt>
                <c:pt idx="703">
                  <c:v>34</c:v>
                </c:pt>
                <c:pt idx="704">
                  <c:v>47</c:v>
                </c:pt>
                <c:pt idx="705">
                  <c:v>33</c:v>
                </c:pt>
                <c:pt idx="706">
                  <c:v>51</c:v>
                </c:pt>
                <c:pt idx="707">
                  <c:v>49</c:v>
                </c:pt>
                <c:pt idx="708">
                  <c:v>31</c:v>
                </c:pt>
                <c:pt idx="709">
                  <c:v>36</c:v>
                </c:pt>
                <c:pt idx="710">
                  <c:v>18</c:v>
                </c:pt>
                <c:pt idx="711">
                  <c:v>50</c:v>
                </c:pt>
                <c:pt idx="712">
                  <c:v>43</c:v>
                </c:pt>
                <c:pt idx="713">
                  <c:v>20</c:v>
                </c:pt>
                <c:pt idx="714">
                  <c:v>24</c:v>
                </c:pt>
                <c:pt idx="715">
                  <c:v>60</c:v>
                </c:pt>
                <c:pt idx="716">
                  <c:v>49</c:v>
                </c:pt>
                <c:pt idx="717">
                  <c:v>60</c:v>
                </c:pt>
                <c:pt idx="718">
                  <c:v>51</c:v>
                </c:pt>
                <c:pt idx="719">
                  <c:v>58</c:v>
                </c:pt>
                <c:pt idx="720">
                  <c:v>51</c:v>
                </c:pt>
                <c:pt idx="721">
                  <c:v>53</c:v>
                </c:pt>
                <c:pt idx="722">
                  <c:v>62</c:v>
                </c:pt>
                <c:pt idx="723">
                  <c:v>19</c:v>
                </c:pt>
                <c:pt idx="724">
                  <c:v>50</c:v>
                </c:pt>
                <c:pt idx="725">
                  <c:v>30</c:v>
                </c:pt>
                <c:pt idx="726">
                  <c:v>41</c:v>
                </c:pt>
                <c:pt idx="727">
                  <c:v>29</c:v>
                </c:pt>
                <c:pt idx="728">
                  <c:v>18</c:v>
                </c:pt>
                <c:pt idx="729">
                  <c:v>41</c:v>
                </c:pt>
                <c:pt idx="730">
                  <c:v>35</c:v>
                </c:pt>
                <c:pt idx="731">
                  <c:v>53</c:v>
                </c:pt>
                <c:pt idx="732">
                  <c:v>24</c:v>
                </c:pt>
                <c:pt idx="733">
                  <c:v>48</c:v>
                </c:pt>
                <c:pt idx="734">
                  <c:v>59</c:v>
                </c:pt>
                <c:pt idx="735">
                  <c:v>49</c:v>
                </c:pt>
                <c:pt idx="736">
                  <c:v>37</c:v>
                </c:pt>
                <c:pt idx="737">
                  <c:v>26</c:v>
                </c:pt>
                <c:pt idx="738">
                  <c:v>23</c:v>
                </c:pt>
                <c:pt idx="739">
                  <c:v>29</c:v>
                </c:pt>
                <c:pt idx="740">
                  <c:v>45</c:v>
                </c:pt>
                <c:pt idx="741">
                  <c:v>27</c:v>
                </c:pt>
                <c:pt idx="742">
                  <c:v>53</c:v>
                </c:pt>
                <c:pt idx="743">
                  <c:v>31</c:v>
                </c:pt>
                <c:pt idx="744">
                  <c:v>50</c:v>
                </c:pt>
                <c:pt idx="745">
                  <c:v>50</c:v>
                </c:pt>
                <c:pt idx="746">
                  <c:v>34</c:v>
                </c:pt>
                <c:pt idx="747">
                  <c:v>19</c:v>
                </c:pt>
                <c:pt idx="748">
                  <c:v>47</c:v>
                </c:pt>
                <c:pt idx="749">
                  <c:v>28</c:v>
                </c:pt>
                <c:pt idx="750">
                  <c:v>37</c:v>
                </c:pt>
                <c:pt idx="751">
                  <c:v>21</c:v>
                </c:pt>
                <c:pt idx="752">
                  <c:v>64</c:v>
                </c:pt>
                <c:pt idx="753">
                  <c:v>58</c:v>
                </c:pt>
                <c:pt idx="754">
                  <c:v>24</c:v>
                </c:pt>
                <c:pt idx="755">
                  <c:v>31</c:v>
                </c:pt>
                <c:pt idx="756">
                  <c:v>39</c:v>
                </c:pt>
                <c:pt idx="757">
                  <c:v>47</c:v>
                </c:pt>
                <c:pt idx="758">
                  <c:v>30</c:v>
                </c:pt>
                <c:pt idx="759">
                  <c:v>18</c:v>
                </c:pt>
                <c:pt idx="760">
                  <c:v>22</c:v>
                </c:pt>
                <c:pt idx="761">
                  <c:v>23</c:v>
                </c:pt>
                <c:pt idx="762">
                  <c:v>33</c:v>
                </c:pt>
                <c:pt idx="763">
                  <c:v>27</c:v>
                </c:pt>
                <c:pt idx="764">
                  <c:v>45</c:v>
                </c:pt>
                <c:pt idx="765">
                  <c:v>57</c:v>
                </c:pt>
                <c:pt idx="766">
                  <c:v>47</c:v>
                </c:pt>
                <c:pt idx="767">
                  <c:v>42</c:v>
                </c:pt>
                <c:pt idx="768">
                  <c:v>64</c:v>
                </c:pt>
                <c:pt idx="769">
                  <c:v>38</c:v>
                </c:pt>
                <c:pt idx="770">
                  <c:v>61</c:v>
                </c:pt>
                <c:pt idx="771">
                  <c:v>53</c:v>
                </c:pt>
                <c:pt idx="772">
                  <c:v>44</c:v>
                </c:pt>
                <c:pt idx="773">
                  <c:v>19</c:v>
                </c:pt>
                <c:pt idx="774">
                  <c:v>41</c:v>
                </c:pt>
                <c:pt idx="775">
                  <c:v>51</c:v>
                </c:pt>
                <c:pt idx="776">
                  <c:v>40</c:v>
                </c:pt>
                <c:pt idx="777">
                  <c:v>45</c:v>
                </c:pt>
                <c:pt idx="778">
                  <c:v>35</c:v>
                </c:pt>
                <c:pt idx="779">
                  <c:v>53</c:v>
                </c:pt>
                <c:pt idx="780">
                  <c:v>30</c:v>
                </c:pt>
                <c:pt idx="781">
                  <c:v>18</c:v>
                </c:pt>
                <c:pt idx="782">
                  <c:v>51</c:v>
                </c:pt>
                <c:pt idx="783">
                  <c:v>50</c:v>
                </c:pt>
                <c:pt idx="784">
                  <c:v>31</c:v>
                </c:pt>
                <c:pt idx="785">
                  <c:v>35</c:v>
                </c:pt>
                <c:pt idx="786">
                  <c:v>60</c:v>
                </c:pt>
                <c:pt idx="787">
                  <c:v>21</c:v>
                </c:pt>
                <c:pt idx="788">
                  <c:v>29</c:v>
                </c:pt>
                <c:pt idx="789">
                  <c:v>62</c:v>
                </c:pt>
                <c:pt idx="790">
                  <c:v>39</c:v>
                </c:pt>
                <c:pt idx="791">
                  <c:v>19</c:v>
                </c:pt>
                <c:pt idx="792">
                  <c:v>22</c:v>
                </c:pt>
                <c:pt idx="793">
                  <c:v>53</c:v>
                </c:pt>
                <c:pt idx="794">
                  <c:v>39</c:v>
                </c:pt>
                <c:pt idx="795">
                  <c:v>27</c:v>
                </c:pt>
                <c:pt idx="796">
                  <c:v>30</c:v>
                </c:pt>
                <c:pt idx="797">
                  <c:v>30</c:v>
                </c:pt>
                <c:pt idx="798">
                  <c:v>58</c:v>
                </c:pt>
                <c:pt idx="799">
                  <c:v>33</c:v>
                </c:pt>
                <c:pt idx="800">
                  <c:v>42</c:v>
                </c:pt>
                <c:pt idx="801">
                  <c:v>64</c:v>
                </c:pt>
                <c:pt idx="802">
                  <c:v>21</c:v>
                </c:pt>
                <c:pt idx="803">
                  <c:v>18</c:v>
                </c:pt>
                <c:pt idx="804">
                  <c:v>23</c:v>
                </c:pt>
                <c:pt idx="805">
                  <c:v>45</c:v>
                </c:pt>
                <c:pt idx="806">
                  <c:v>40</c:v>
                </c:pt>
                <c:pt idx="807">
                  <c:v>19</c:v>
                </c:pt>
                <c:pt idx="808">
                  <c:v>18</c:v>
                </c:pt>
                <c:pt idx="809">
                  <c:v>25</c:v>
                </c:pt>
                <c:pt idx="810">
                  <c:v>46</c:v>
                </c:pt>
                <c:pt idx="811">
                  <c:v>33</c:v>
                </c:pt>
                <c:pt idx="812">
                  <c:v>54</c:v>
                </c:pt>
                <c:pt idx="813">
                  <c:v>28</c:v>
                </c:pt>
                <c:pt idx="814">
                  <c:v>36</c:v>
                </c:pt>
                <c:pt idx="815">
                  <c:v>20</c:v>
                </c:pt>
                <c:pt idx="816">
                  <c:v>24</c:v>
                </c:pt>
                <c:pt idx="817">
                  <c:v>23</c:v>
                </c:pt>
                <c:pt idx="818">
                  <c:v>47</c:v>
                </c:pt>
                <c:pt idx="819">
                  <c:v>33</c:v>
                </c:pt>
                <c:pt idx="820">
                  <c:v>45</c:v>
                </c:pt>
                <c:pt idx="821">
                  <c:v>26</c:v>
                </c:pt>
                <c:pt idx="822">
                  <c:v>18</c:v>
                </c:pt>
                <c:pt idx="823">
                  <c:v>44</c:v>
                </c:pt>
                <c:pt idx="824">
                  <c:v>60</c:v>
                </c:pt>
                <c:pt idx="825">
                  <c:v>64</c:v>
                </c:pt>
                <c:pt idx="826">
                  <c:v>56</c:v>
                </c:pt>
                <c:pt idx="827">
                  <c:v>36</c:v>
                </c:pt>
                <c:pt idx="828">
                  <c:v>41</c:v>
                </c:pt>
                <c:pt idx="829">
                  <c:v>39</c:v>
                </c:pt>
                <c:pt idx="830">
                  <c:v>63</c:v>
                </c:pt>
                <c:pt idx="831">
                  <c:v>36</c:v>
                </c:pt>
                <c:pt idx="832">
                  <c:v>28</c:v>
                </c:pt>
                <c:pt idx="833">
                  <c:v>58</c:v>
                </c:pt>
                <c:pt idx="834">
                  <c:v>36</c:v>
                </c:pt>
                <c:pt idx="835">
                  <c:v>42</c:v>
                </c:pt>
                <c:pt idx="836">
                  <c:v>36</c:v>
                </c:pt>
                <c:pt idx="837">
                  <c:v>56</c:v>
                </c:pt>
                <c:pt idx="838">
                  <c:v>35</c:v>
                </c:pt>
                <c:pt idx="839">
                  <c:v>59</c:v>
                </c:pt>
                <c:pt idx="840">
                  <c:v>21</c:v>
                </c:pt>
                <c:pt idx="841">
                  <c:v>59</c:v>
                </c:pt>
                <c:pt idx="842">
                  <c:v>23</c:v>
                </c:pt>
                <c:pt idx="843">
                  <c:v>57</c:v>
                </c:pt>
                <c:pt idx="844">
                  <c:v>53</c:v>
                </c:pt>
                <c:pt idx="845">
                  <c:v>60</c:v>
                </c:pt>
                <c:pt idx="846">
                  <c:v>51</c:v>
                </c:pt>
                <c:pt idx="847">
                  <c:v>23</c:v>
                </c:pt>
                <c:pt idx="848">
                  <c:v>27</c:v>
                </c:pt>
                <c:pt idx="849">
                  <c:v>55</c:v>
                </c:pt>
                <c:pt idx="850">
                  <c:v>37</c:v>
                </c:pt>
                <c:pt idx="851">
                  <c:v>61</c:v>
                </c:pt>
                <c:pt idx="852">
                  <c:v>46</c:v>
                </c:pt>
                <c:pt idx="853">
                  <c:v>53</c:v>
                </c:pt>
                <c:pt idx="854">
                  <c:v>49</c:v>
                </c:pt>
                <c:pt idx="855">
                  <c:v>20</c:v>
                </c:pt>
                <c:pt idx="856">
                  <c:v>48</c:v>
                </c:pt>
                <c:pt idx="857">
                  <c:v>25</c:v>
                </c:pt>
                <c:pt idx="858">
                  <c:v>25</c:v>
                </c:pt>
                <c:pt idx="859">
                  <c:v>57</c:v>
                </c:pt>
                <c:pt idx="860">
                  <c:v>37</c:v>
                </c:pt>
                <c:pt idx="861">
                  <c:v>38</c:v>
                </c:pt>
                <c:pt idx="862">
                  <c:v>55</c:v>
                </c:pt>
                <c:pt idx="863">
                  <c:v>36</c:v>
                </c:pt>
                <c:pt idx="864">
                  <c:v>51</c:v>
                </c:pt>
                <c:pt idx="865">
                  <c:v>40</c:v>
                </c:pt>
                <c:pt idx="866">
                  <c:v>18</c:v>
                </c:pt>
                <c:pt idx="867">
                  <c:v>57</c:v>
                </c:pt>
                <c:pt idx="868">
                  <c:v>61</c:v>
                </c:pt>
                <c:pt idx="869">
                  <c:v>25</c:v>
                </c:pt>
                <c:pt idx="870">
                  <c:v>50</c:v>
                </c:pt>
                <c:pt idx="871">
                  <c:v>26</c:v>
                </c:pt>
                <c:pt idx="872">
                  <c:v>42</c:v>
                </c:pt>
                <c:pt idx="873">
                  <c:v>43</c:v>
                </c:pt>
                <c:pt idx="874">
                  <c:v>44</c:v>
                </c:pt>
                <c:pt idx="875">
                  <c:v>23</c:v>
                </c:pt>
                <c:pt idx="876">
                  <c:v>49</c:v>
                </c:pt>
                <c:pt idx="877">
                  <c:v>33</c:v>
                </c:pt>
                <c:pt idx="878">
                  <c:v>41</c:v>
                </c:pt>
                <c:pt idx="879">
                  <c:v>37</c:v>
                </c:pt>
                <c:pt idx="880">
                  <c:v>22</c:v>
                </c:pt>
                <c:pt idx="881">
                  <c:v>23</c:v>
                </c:pt>
                <c:pt idx="882">
                  <c:v>21</c:v>
                </c:pt>
                <c:pt idx="883">
                  <c:v>51</c:v>
                </c:pt>
                <c:pt idx="884">
                  <c:v>25</c:v>
                </c:pt>
                <c:pt idx="885">
                  <c:v>32</c:v>
                </c:pt>
                <c:pt idx="886">
                  <c:v>57</c:v>
                </c:pt>
                <c:pt idx="887">
                  <c:v>36</c:v>
                </c:pt>
                <c:pt idx="888">
                  <c:v>22</c:v>
                </c:pt>
                <c:pt idx="889">
                  <c:v>57</c:v>
                </c:pt>
                <c:pt idx="890">
                  <c:v>64</c:v>
                </c:pt>
                <c:pt idx="891">
                  <c:v>36</c:v>
                </c:pt>
                <c:pt idx="892">
                  <c:v>54</c:v>
                </c:pt>
                <c:pt idx="893">
                  <c:v>47</c:v>
                </c:pt>
                <c:pt idx="894">
                  <c:v>62</c:v>
                </c:pt>
                <c:pt idx="895">
                  <c:v>61</c:v>
                </c:pt>
                <c:pt idx="896">
                  <c:v>43</c:v>
                </c:pt>
                <c:pt idx="897">
                  <c:v>19</c:v>
                </c:pt>
                <c:pt idx="898">
                  <c:v>18</c:v>
                </c:pt>
                <c:pt idx="899">
                  <c:v>19</c:v>
                </c:pt>
                <c:pt idx="900">
                  <c:v>49</c:v>
                </c:pt>
                <c:pt idx="901">
                  <c:v>60</c:v>
                </c:pt>
                <c:pt idx="902">
                  <c:v>26</c:v>
                </c:pt>
                <c:pt idx="903">
                  <c:v>49</c:v>
                </c:pt>
                <c:pt idx="904">
                  <c:v>60</c:v>
                </c:pt>
                <c:pt idx="905">
                  <c:v>26</c:v>
                </c:pt>
                <c:pt idx="906">
                  <c:v>27</c:v>
                </c:pt>
                <c:pt idx="907">
                  <c:v>44</c:v>
                </c:pt>
                <c:pt idx="908">
                  <c:v>63</c:v>
                </c:pt>
                <c:pt idx="909">
                  <c:v>32</c:v>
                </c:pt>
                <c:pt idx="910">
                  <c:v>22</c:v>
                </c:pt>
                <c:pt idx="911">
                  <c:v>18</c:v>
                </c:pt>
                <c:pt idx="912">
                  <c:v>59</c:v>
                </c:pt>
                <c:pt idx="913">
                  <c:v>44</c:v>
                </c:pt>
                <c:pt idx="914">
                  <c:v>33</c:v>
                </c:pt>
                <c:pt idx="915">
                  <c:v>24</c:v>
                </c:pt>
                <c:pt idx="916">
                  <c:v>43</c:v>
                </c:pt>
                <c:pt idx="917">
                  <c:v>45</c:v>
                </c:pt>
                <c:pt idx="918">
                  <c:v>61</c:v>
                </c:pt>
                <c:pt idx="919">
                  <c:v>35</c:v>
                </c:pt>
                <c:pt idx="920">
                  <c:v>62</c:v>
                </c:pt>
                <c:pt idx="921">
                  <c:v>62</c:v>
                </c:pt>
                <c:pt idx="922">
                  <c:v>38</c:v>
                </c:pt>
                <c:pt idx="923">
                  <c:v>34</c:v>
                </c:pt>
                <c:pt idx="924">
                  <c:v>43</c:v>
                </c:pt>
                <c:pt idx="925">
                  <c:v>50</c:v>
                </c:pt>
                <c:pt idx="926">
                  <c:v>19</c:v>
                </c:pt>
                <c:pt idx="927">
                  <c:v>57</c:v>
                </c:pt>
                <c:pt idx="928">
                  <c:v>62</c:v>
                </c:pt>
                <c:pt idx="929">
                  <c:v>41</c:v>
                </c:pt>
                <c:pt idx="930">
                  <c:v>26</c:v>
                </c:pt>
                <c:pt idx="931">
                  <c:v>39</c:v>
                </c:pt>
                <c:pt idx="932">
                  <c:v>46</c:v>
                </c:pt>
                <c:pt idx="933">
                  <c:v>45</c:v>
                </c:pt>
                <c:pt idx="934">
                  <c:v>32</c:v>
                </c:pt>
                <c:pt idx="935">
                  <c:v>59</c:v>
                </c:pt>
                <c:pt idx="936">
                  <c:v>44</c:v>
                </c:pt>
                <c:pt idx="937">
                  <c:v>39</c:v>
                </c:pt>
                <c:pt idx="938">
                  <c:v>18</c:v>
                </c:pt>
                <c:pt idx="939">
                  <c:v>53</c:v>
                </c:pt>
                <c:pt idx="940">
                  <c:v>18</c:v>
                </c:pt>
                <c:pt idx="941">
                  <c:v>50</c:v>
                </c:pt>
                <c:pt idx="942">
                  <c:v>18</c:v>
                </c:pt>
                <c:pt idx="943">
                  <c:v>19</c:v>
                </c:pt>
                <c:pt idx="944">
                  <c:v>62</c:v>
                </c:pt>
                <c:pt idx="945">
                  <c:v>56</c:v>
                </c:pt>
                <c:pt idx="946">
                  <c:v>42</c:v>
                </c:pt>
                <c:pt idx="947">
                  <c:v>37</c:v>
                </c:pt>
                <c:pt idx="948">
                  <c:v>42</c:v>
                </c:pt>
                <c:pt idx="949">
                  <c:v>25</c:v>
                </c:pt>
                <c:pt idx="950">
                  <c:v>57</c:v>
                </c:pt>
                <c:pt idx="951">
                  <c:v>51</c:v>
                </c:pt>
                <c:pt idx="952">
                  <c:v>30</c:v>
                </c:pt>
                <c:pt idx="953">
                  <c:v>44</c:v>
                </c:pt>
                <c:pt idx="954">
                  <c:v>34</c:v>
                </c:pt>
                <c:pt idx="955">
                  <c:v>31</c:v>
                </c:pt>
                <c:pt idx="956">
                  <c:v>54</c:v>
                </c:pt>
                <c:pt idx="957">
                  <c:v>24</c:v>
                </c:pt>
                <c:pt idx="958">
                  <c:v>43</c:v>
                </c:pt>
                <c:pt idx="959">
                  <c:v>48</c:v>
                </c:pt>
                <c:pt idx="960">
                  <c:v>19</c:v>
                </c:pt>
                <c:pt idx="961">
                  <c:v>29</c:v>
                </c:pt>
                <c:pt idx="962">
                  <c:v>63</c:v>
                </c:pt>
                <c:pt idx="963">
                  <c:v>46</c:v>
                </c:pt>
                <c:pt idx="964">
                  <c:v>52</c:v>
                </c:pt>
                <c:pt idx="965">
                  <c:v>35</c:v>
                </c:pt>
                <c:pt idx="966">
                  <c:v>51</c:v>
                </c:pt>
                <c:pt idx="967">
                  <c:v>44</c:v>
                </c:pt>
                <c:pt idx="968">
                  <c:v>21</c:v>
                </c:pt>
                <c:pt idx="969">
                  <c:v>39</c:v>
                </c:pt>
                <c:pt idx="970">
                  <c:v>50</c:v>
                </c:pt>
                <c:pt idx="971">
                  <c:v>34</c:v>
                </c:pt>
                <c:pt idx="972">
                  <c:v>22</c:v>
                </c:pt>
                <c:pt idx="973">
                  <c:v>19</c:v>
                </c:pt>
                <c:pt idx="974">
                  <c:v>26</c:v>
                </c:pt>
                <c:pt idx="975">
                  <c:v>29</c:v>
                </c:pt>
                <c:pt idx="976">
                  <c:v>48</c:v>
                </c:pt>
                <c:pt idx="977">
                  <c:v>26</c:v>
                </c:pt>
                <c:pt idx="978">
                  <c:v>45</c:v>
                </c:pt>
                <c:pt idx="979">
                  <c:v>36</c:v>
                </c:pt>
                <c:pt idx="980">
                  <c:v>54</c:v>
                </c:pt>
                <c:pt idx="981">
                  <c:v>34</c:v>
                </c:pt>
                <c:pt idx="982">
                  <c:v>31</c:v>
                </c:pt>
                <c:pt idx="983">
                  <c:v>27</c:v>
                </c:pt>
                <c:pt idx="984">
                  <c:v>20</c:v>
                </c:pt>
                <c:pt idx="985">
                  <c:v>44</c:v>
                </c:pt>
                <c:pt idx="986">
                  <c:v>43</c:v>
                </c:pt>
                <c:pt idx="987">
                  <c:v>45</c:v>
                </c:pt>
                <c:pt idx="988">
                  <c:v>34</c:v>
                </c:pt>
                <c:pt idx="989">
                  <c:v>24</c:v>
                </c:pt>
                <c:pt idx="990">
                  <c:v>26</c:v>
                </c:pt>
                <c:pt idx="991">
                  <c:v>38</c:v>
                </c:pt>
                <c:pt idx="992">
                  <c:v>50</c:v>
                </c:pt>
                <c:pt idx="993">
                  <c:v>38</c:v>
                </c:pt>
                <c:pt idx="994">
                  <c:v>27</c:v>
                </c:pt>
                <c:pt idx="995">
                  <c:v>39</c:v>
                </c:pt>
                <c:pt idx="996">
                  <c:v>39</c:v>
                </c:pt>
                <c:pt idx="997">
                  <c:v>63</c:v>
                </c:pt>
                <c:pt idx="998">
                  <c:v>33</c:v>
                </c:pt>
                <c:pt idx="999">
                  <c:v>36</c:v>
                </c:pt>
                <c:pt idx="1000">
                  <c:v>30</c:v>
                </c:pt>
                <c:pt idx="1001">
                  <c:v>24</c:v>
                </c:pt>
                <c:pt idx="1002">
                  <c:v>24</c:v>
                </c:pt>
                <c:pt idx="1003">
                  <c:v>48</c:v>
                </c:pt>
                <c:pt idx="1004">
                  <c:v>47</c:v>
                </c:pt>
                <c:pt idx="1005">
                  <c:v>29</c:v>
                </c:pt>
                <c:pt idx="1006">
                  <c:v>28</c:v>
                </c:pt>
                <c:pt idx="1007">
                  <c:v>47</c:v>
                </c:pt>
                <c:pt idx="1008">
                  <c:v>25</c:v>
                </c:pt>
                <c:pt idx="1009">
                  <c:v>51</c:v>
                </c:pt>
                <c:pt idx="1010">
                  <c:v>48</c:v>
                </c:pt>
                <c:pt idx="1011">
                  <c:v>43</c:v>
                </c:pt>
                <c:pt idx="1012">
                  <c:v>61</c:v>
                </c:pt>
                <c:pt idx="1013">
                  <c:v>48</c:v>
                </c:pt>
                <c:pt idx="1014">
                  <c:v>38</c:v>
                </c:pt>
                <c:pt idx="1015">
                  <c:v>59</c:v>
                </c:pt>
                <c:pt idx="1016">
                  <c:v>19</c:v>
                </c:pt>
                <c:pt idx="1017">
                  <c:v>26</c:v>
                </c:pt>
                <c:pt idx="1018">
                  <c:v>54</c:v>
                </c:pt>
                <c:pt idx="1019">
                  <c:v>21</c:v>
                </c:pt>
                <c:pt idx="1020">
                  <c:v>51</c:v>
                </c:pt>
                <c:pt idx="1021">
                  <c:v>22</c:v>
                </c:pt>
                <c:pt idx="1022">
                  <c:v>47</c:v>
                </c:pt>
                <c:pt idx="1023">
                  <c:v>18</c:v>
                </c:pt>
                <c:pt idx="1024">
                  <c:v>47</c:v>
                </c:pt>
                <c:pt idx="1025">
                  <c:v>21</c:v>
                </c:pt>
                <c:pt idx="1026">
                  <c:v>19</c:v>
                </c:pt>
                <c:pt idx="1027">
                  <c:v>23</c:v>
                </c:pt>
                <c:pt idx="1028">
                  <c:v>54</c:v>
                </c:pt>
                <c:pt idx="1029">
                  <c:v>37</c:v>
                </c:pt>
                <c:pt idx="1030">
                  <c:v>46</c:v>
                </c:pt>
                <c:pt idx="1031">
                  <c:v>55</c:v>
                </c:pt>
                <c:pt idx="1032">
                  <c:v>30</c:v>
                </c:pt>
                <c:pt idx="1033">
                  <c:v>18</c:v>
                </c:pt>
                <c:pt idx="1034">
                  <c:v>61</c:v>
                </c:pt>
                <c:pt idx="1035">
                  <c:v>54</c:v>
                </c:pt>
                <c:pt idx="1036">
                  <c:v>22</c:v>
                </c:pt>
                <c:pt idx="1037">
                  <c:v>45</c:v>
                </c:pt>
                <c:pt idx="1038">
                  <c:v>22</c:v>
                </c:pt>
                <c:pt idx="1039">
                  <c:v>19</c:v>
                </c:pt>
                <c:pt idx="1040">
                  <c:v>35</c:v>
                </c:pt>
                <c:pt idx="1041">
                  <c:v>18</c:v>
                </c:pt>
                <c:pt idx="1042">
                  <c:v>20</c:v>
                </c:pt>
                <c:pt idx="1043">
                  <c:v>28</c:v>
                </c:pt>
                <c:pt idx="1044">
                  <c:v>55</c:v>
                </c:pt>
                <c:pt idx="1045">
                  <c:v>43</c:v>
                </c:pt>
                <c:pt idx="1046">
                  <c:v>43</c:v>
                </c:pt>
                <c:pt idx="1047">
                  <c:v>22</c:v>
                </c:pt>
                <c:pt idx="1048">
                  <c:v>25</c:v>
                </c:pt>
                <c:pt idx="1049">
                  <c:v>49</c:v>
                </c:pt>
                <c:pt idx="1050">
                  <c:v>44</c:v>
                </c:pt>
                <c:pt idx="1051">
                  <c:v>64</c:v>
                </c:pt>
                <c:pt idx="1052">
                  <c:v>49</c:v>
                </c:pt>
                <c:pt idx="1053">
                  <c:v>47</c:v>
                </c:pt>
                <c:pt idx="1054">
                  <c:v>27</c:v>
                </c:pt>
                <c:pt idx="1055">
                  <c:v>55</c:v>
                </c:pt>
                <c:pt idx="1056">
                  <c:v>48</c:v>
                </c:pt>
                <c:pt idx="1057">
                  <c:v>45</c:v>
                </c:pt>
                <c:pt idx="1058">
                  <c:v>24</c:v>
                </c:pt>
                <c:pt idx="1059">
                  <c:v>32</c:v>
                </c:pt>
                <c:pt idx="1060">
                  <c:v>24</c:v>
                </c:pt>
                <c:pt idx="1061">
                  <c:v>57</c:v>
                </c:pt>
                <c:pt idx="1062">
                  <c:v>59</c:v>
                </c:pt>
                <c:pt idx="1063">
                  <c:v>36</c:v>
                </c:pt>
                <c:pt idx="1064">
                  <c:v>29</c:v>
                </c:pt>
                <c:pt idx="1065">
                  <c:v>42</c:v>
                </c:pt>
                <c:pt idx="1066">
                  <c:v>48</c:v>
                </c:pt>
                <c:pt idx="1067">
                  <c:v>39</c:v>
                </c:pt>
                <c:pt idx="1068">
                  <c:v>63</c:v>
                </c:pt>
                <c:pt idx="1069">
                  <c:v>54</c:v>
                </c:pt>
                <c:pt idx="1070">
                  <c:v>37</c:v>
                </c:pt>
                <c:pt idx="1071">
                  <c:v>63</c:v>
                </c:pt>
                <c:pt idx="1072">
                  <c:v>21</c:v>
                </c:pt>
                <c:pt idx="1073">
                  <c:v>54</c:v>
                </c:pt>
                <c:pt idx="1074">
                  <c:v>60</c:v>
                </c:pt>
                <c:pt idx="1075">
                  <c:v>32</c:v>
                </c:pt>
                <c:pt idx="1076">
                  <c:v>47</c:v>
                </c:pt>
                <c:pt idx="1077">
                  <c:v>21</c:v>
                </c:pt>
                <c:pt idx="1078">
                  <c:v>28</c:v>
                </c:pt>
                <c:pt idx="1079">
                  <c:v>63</c:v>
                </c:pt>
                <c:pt idx="1080">
                  <c:v>18</c:v>
                </c:pt>
                <c:pt idx="1081">
                  <c:v>32</c:v>
                </c:pt>
                <c:pt idx="1082">
                  <c:v>38</c:v>
                </c:pt>
                <c:pt idx="1083">
                  <c:v>32</c:v>
                </c:pt>
                <c:pt idx="1084">
                  <c:v>62</c:v>
                </c:pt>
                <c:pt idx="1085">
                  <c:v>39</c:v>
                </c:pt>
                <c:pt idx="1086">
                  <c:v>55</c:v>
                </c:pt>
                <c:pt idx="1087">
                  <c:v>57</c:v>
                </c:pt>
                <c:pt idx="1088">
                  <c:v>52</c:v>
                </c:pt>
                <c:pt idx="1089">
                  <c:v>56</c:v>
                </c:pt>
                <c:pt idx="1090">
                  <c:v>47</c:v>
                </c:pt>
                <c:pt idx="1091">
                  <c:v>55</c:v>
                </c:pt>
                <c:pt idx="1092">
                  <c:v>23</c:v>
                </c:pt>
                <c:pt idx="1093">
                  <c:v>22</c:v>
                </c:pt>
                <c:pt idx="1094">
                  <c:v>50</c:v>
                </c:pt>
                <c:pt idx="1095">
                  <c:v>18</c:v>
                </c:pt>
                <c:pt idx="1096">
                  <c:v>51</c:v>
                </c:pt>
                <c:pt idx="1097">
                  <c:v>22</c:v>
                </c:pt>
                <c:pt idx="1098">
                  <c:v>52</c:v>
                </c:pt>
                <c:pt idx="1099">
                  <c:v>25</c:v>
                </c:pt>
                <c:pt idx="1100">
                  <c:v>33</c:v>
                </c:pt>
                <c:pt idx="1101">
                  <c:v>53</c:v>
                </c:pt>
                <c:pt idx="1102">
                  <c:v>29</c:v>
                </c:pt>
                <c:pt idx="1103">
                  <c:v>58</c:v>
                </c:pt>
                <c:pt idx="1104">
                  <c:v>37</c:v>
                </c:pt>
                <c:pt idx="1105">
                  <c:v>54</c:v>
                </c:pt>
                <c:pt idx="1106">
                  <c:v>49</c:v>
                </c:pt>
                <c:pt idx="1107">
                  <c:v>50</c:v>
                </c:pt>
                <c:pt idx="1108">
                  <c:v>26</c:v>
                </c:pt>
                <c:pt idx="1109">
                  <c:v>45</c:v>
                </c:pt>
                <c:pt idx="1110">
                  <c:v>54</c:v>
                </c:pt>
                <c:pt idx="1111">
                  <c:v>38</c:v>
                </c:pt>
                <c:pt idx="1112">
                  <c:v>48</c:v>
                </c:pt>
                <c:pt idx="1113">
                  <c:v>28</c:v>
                </c:pt>
                <c:pt idx="1114">
                  <c:v>23</c:v>
                </c:pt>
                <c:pt idx="1115">
                  <c:v>55</c:v>
                </c:pt>
                <c:pt idx="1116">
                  <c:v>41</c:v>
                </c:pt>
                <c:pt idx="1117">
                  <c:v>25</c:v>
                </c:pt>
                <c:pt idx="1118">
                  <c:v>33</c:v>
                </c:pt>
                <c:pt idx="1119">
                  <c:v>30</c:v>
                </c:pt>
                <c:pt idx="1120">
                  <c:v>23</c:v>
                </c:pt>
                <c:pt idx="1121">
                  <c:v>46</c:v>
                </c:pt>
                <c:pt idx="1122">
                  <c:v>53</c:v>
                </c:pt>
                <c:pt idx="1123">
                  <c:v>27</c:v>
                </c:pt>
                <c:pt idx="1124">
                  <c:v>23</c:v>
                </c:pt>
                <c:pt idx="1125">
                  <c:v>63</c:v>
                </c:pt>
                <c:pt idx="1126">
                  <c:v>55</c:v>
                </c:pt>
                <c:pt idx="1127">
                  <c:v>35</c:v>
                </c:pt>
                <c:pt idx="1128">
                  <c:v>34</c:v>
                </c:pt>
                <c:pt idx="1129">
                  <c:v>19</c:v>
                </c:pt>
                <c:pt idx="1130">
                  <c:v>39</c:v>
                </c:pt>
                <c:pt idx="1131">
                  <c:v>27</c:v>
                </c:pt>
                <c:pt idx="1132">
                  <c:v>57</c:v>
                </c:pt>
                <c:pt idx="1133">
                  <c:v>52</c:v>
                </c:pt>
                <c:pt idx="1134">
                  <c:v>28</c:v>
                </c:pt>
                <c:pt idx="1135">
                  <c:v>50</c:v>
                </c:pt>
                <c:pt idx="1136">
                  <c:v>44</c:v>
                </c:pt>
                <c:pt idx="1137">
                  <c:v>26</c:v>
                </c:pt>
                <c:pt idx="1138">
                  <c:v>33</c:v>
                </c:pt>
                <c:pt idx="1139">
                  <c:v>19</c:v>
                </c:pt>
                <c:pt idx="1140">
                  <c:v>50</c:v>
                </c:pt>
                <c:pt idx="1141">
                  <c:v>41</c:v>
                </c:pt>
                <c:pt idx="1142">
                  <c:v>52</c:v>
                </c:pt>
                <c:pt idx="1143">
                  <c:v>39</c:v>
                </c:pt>
                <c:pt idx="1144">
                  <c:v>50</c:v>
                </c:pt>
                <c:pt idx="1145">
                  <c:v>52</c:v>
                </c:pt>
                <c:pt idx="1146">
                  <c:v>60</c:v>
                </c:pt>
                <c:pt idx="1147">
                  <c:v>20</c:v>
                </c:pt>
                <c:pt idx="1148">
                  <c:v>55</c:v>
                </c:pt>
                <c:pt idx="1149">
                  <c:v>42</c:v>
                </c:pt>
                <c:pt idx="1150">
                  <c:v>18</c:v>
                </c:pt>
                <c:pt idx="1151">
                  <c:v>58</c:v>
                </c:pt>
                <c:pt idx="1152">
                  <c:v>43</c:v>
                </c:pt>
                <c:pt idx="1153">
                  <c:v>35</c:v>
                </c:pt>
                <c:pt idx="1154">
                  <c:v>48</c:v>
                </c:pt>
                <c:pt idx="1155">
                  <c:v>36</c:v>
                </c:pt>
                <c:pt idx="1156">
                  <c:v>19</c:v>
                </c:pt>
                <c:pt idx="1157">
                  <c:v>23</c:v>
                </c:pt>
                <c:pt idx="1158">
                  <c:v>20</c:v>
                </c:pt>
                <c:pt idx="1159">
                  <c:v>32</c:v>
                </c:pt>
                <c:pt idx="1160">
                  <c:v>43</c:v>
                </c:pt>
                <c:pt idx="1161">
                  <c:v>34</c:v>
                </c:pt>
                <c:pt idx="1162">
                  <c:v>30</c:v>
                </c:pt>
                <c:pt idx="1163">
                  <c:v>18</c:v>
                </c:pt>
                <c:pt idx="1164">
                  <c:v>41</c:v>
                </c:pt>
                <c:pt idx="1165">
                  <c:v>35</c:v>
                </c:pt>
                <c:pt idx="1166">
                  <c:v>57</c:v>
                </c:pt>
                <c:pt idx="1167">
                  <c:v>29</c:v>
                </c:pt>
                <c:pt idx="1168">
                  <c:v>32</c:v>
                </c:pt>
                <c:pt idx="1169">
                  <c:v>37</c:v>
                </c:pt>
                <c:pt idx="1170">
                  <c:v>18</c:v>
                </c:pt>
                <c:pt idx="1171">
                  <c:v>43</c:v>
                </c:pt>
                <c:pt idx="1172">
                  <c:v>56</c:v>
                </c:pt>
                <c:pt idx="1173">
                  <c:v>38</c:v>
                </c:pt>
                <c:pt idx="1174">
                  <c:v>29</c:v>
                </c:pt>
                <c:pt idx="1175">
                  <c:v>22</c:v>
                </c:pt>
                <c:pt idx="1176">
                  <c:v>52</c:v>
                </c:pt>
                <c:pt idx="1177">
                  <c:v>40</c:v>
                </c:pt>
                <c:pt idx="1178">
                  <c:v>23</c:v>
                </c:pt>
                <c:pt idx="1179">
                  <c:v>31</c:v>
                </c:pt>
                <c:pt idx="1180">
                  <c:v>42</c:v>
                </c:pt>
                <c:pt idx="1181">
                  <c:v>24</c:v>
                </c:pt>
                <c:pt idx="1182">
                  <c:v>25</c:v>
                </c:pt>
                <c:pt idx="1183">
                  <c:v>48</c:v>
                </c:pt>
                <c:pt idx="1184">
                  <c:v>23</c:v>
                </c:pt>
                <c:pt idx="1185">
                  <c:v>45</c:v>
                </c:pt>
                <c:pt idx="1186">
                  <c:v>20</c:v>
                </c:pt>
                <c:pt idx="1187">
                  <c:v>62</c:v>
                </c:pt>
                <c:pt idx="1188">
                  <c:v>43</c:v>
                </c:pt>
                <c:pt idx="1189">
                  <c:v>23</c:v>
                </c:pt>
                <c:pt idx="1190">
                  <c:v>31</c:v>
                </c:pt>
                <c:pt idx="1191">
                  <c:v>41</c:v>
                </c:pt>
                <c:pt idx="1192">
                  <c:v>58</c:v>
                </c:pt>
                <c:pt idx="1193">
                  <c:v>48</c:v>
                </c:pt>
                <c:pt idx="1194">
                  <c:v>31</c:v>
                </c:pt>
                <c:pt idx="1195">
                  <c:v>19</c:v>
                </c:pt>
                <c:pt idx="1196">
                  <c:v>19</c:v>
                </c:pt>
                <c:pt idx="1197">
                  <c:v>41</c:v>
                </c:pt>
                <c:pt idx="1198">
                  <c:v>40</c:v>
                </c:pt>
                <c:pt idx="1199">
                  <c:v>31</c:v>
                </c:pt>
                <c:pt idx="1200">
                  <c:v>37</c:v>
                </c:pt>
                <c:pt idx="1201">
                  <c:v>46</c:v>
                </c:pt>
                <c:pt idx="1202">
                  <c:v>22</c:v>
                </c:pt>
                <c:pt idx="1203">
                  <c:v>51</c:v>
                </c:pt>
                <c:pt idx="1204">
                  <c:v>18</c:v>
                </c:pt>
                <c:pt idx="1205">
                  <c:v>35</c:v>
                </c:pt>
                <c:pt idx="1206">
                  <c:v>59</c:v>
                </c:pt>
                <c:pt idx="1207">
                  <c:v>36</c:v>
                </c:pt>
                <c:pt idx="1208">
                  <c:v>37</c:v>
                </c:pt>
                <c:pt idx="1209">
                  <c:v>59</c:v>
                </c:pt>
                <c:pt idx="1210">
                  <c:v>36</c:v>
                </c:pt>
                <c:pt idx="1211">
                  <c:v>39</c:v>
                </c:pt>
                <c:pt idx="1212">
                  <c:v>18</c:v>
                </c:pt>
                <c:pt idx="1213">
                  <c:v>52</c:v>
                </c:pt>
                <c:pt idx="1214">
                  <c:v>27</c:v>
                </c:pt>
                <c:pt idx="1215">
                  <c:v>18</c:v>
                </c:pt>
                <c:pt idx="1216">
                  <c:v>40</c:v>
                </c:pt>
                <c:pt idx="1217">
                  <c:v>29</c:v>
                </c:pt>
                <c:pt idx="1218">
                  <c:v>46</c:v>
                </c:pt>
                <c:pt idx="1219">
                  <c:v>38</c:v>
                </c:pt>
                <c:pt idx="1220">
                  <c:v>30</c:v>
                </c:pt>
                <c:pt idx="1221">
                  <c:v>40</c:v>
                </c:pt>
                <c:pt idx="1222">
                  <c:v>50</c:v>
                </c:pt>
                <c:pt idx="1223">
                  <c:v>20</c:v>
                </c:pt>
                <c:pt idx="1224">
                  <c:v>41</c:v>
                </c:pt>
                <c:pt idx="1225">
                  <c:v>33</c:v>
                </c:pt>
                <c:pt idx="1226">
                  <c:v>38</c:v>
                </c:pt>
                <c:pt idx="1227">
                  <c:v>42</c:v>
                </c:pt>
                <c:pt idx="1228">
                  <c:v>56</c:v>
                </c:pt>
                <c:pt idx="1229">
                  <c:v>58</c:v>
                </c:pt>
                <c:pt idx="1230">
                  <c:v>52</c:v>
                </c:pt>
                <c:pt idx="1231">
                  <c:v>20</c:v>
                </c:pt>
                <c:pt idx="1232">
                  <c:v>54</c:v>
                </c:pt>
                <c:pt idx="1233">
                  <c:v>58</c:v>
                </c:pt>
                <c:pt idx="1234">
                  <c:v>45</c:v>
                </c:pt>
                <c:pt idx="1235">
                  <c:v>26</c:v>
                </c:pt>
                <c:pt idx="1236">
                  <c:v>63</c:v>
                </c:pt>
                <c:pt idx="1237">
                  <c:v>58</c:v>
                </c:pt>
                <c:pt idx="1238">
                  <c:v>37</c:v>
                </c:pt>
                <c:pt idx="1239">
                  <c:v>25</c:v>
                </c:pt>
                <c:pt idx="1240">
                  <c:v>52</c:v>
                </c:pt>
                <c:pt idx="1241">
                  <c:v>64</c:v>
                </c:pt>
                <c:pt idx="1242">
                  <c:v>22</c:v>
                </c:pt>
                <c:pt idx="1243">
                  <c:v>28</c:v>
                </c:pt>
                <c:pt idx="1244">
                  <c:v>18</c:v>
                </c:pt>
                <c:pt idx="1245">
                  <c:v>28</c:v>
                </c:pt>
                <c:pt idx="1246">
                  <c:v>45</c:v>
                </c:pt>
                <c:pt idx="1247">
                  <c:v>33</c:v>
                </c:pt>
                <c:pt idx="1248">
                  <c:v>18</c:v>
                </c:pt>
                <c:pt idx="1249">
                  <c:v>32</c:v>
                </c:pt>
                <c:pt idx="1250">
                  <c:v>24</c:v>
                </c:pt>
                <c:pt idx="1251">
                  <c:v>19</c:v>
                </c:pt>
                <c:pt idx="1252">
                  <c:v>20</c:v>
                </c:pt>
                <c:pt idx="1253">
                  <c:v>40</c:v>
                </c:pt>
                <c:pt idx="1254">
                  <c:v>34</c:v>
                </c:pt>
                <c:pt idx="1255">
                  <c:v>42</c:v>
                </c:pt>
                <c:pt idx="1256">
                  <c:v>51</c:v>
                </c:pt>
                <c:pt idx="1257">
                  <c:v>54</c:v>
                </c:pt>
                <c:pt idx="1258">
                  <c:v>55</c:v>
                </c:pt>
                <c:pt idx="1259">
                  <c:v>52</c:v>
                </c:pt>
                <c:pt idx="1260">
                  <c:v>32</c:v>
                </c:pt>
                <c:pt idx="1261">
                  <c:v>28</c:v>
                </c:pt>
                <c:pt idx="1262">
                  <c:v>41</c:v>
                </c:pt>
                <c:pt idx="1263">
                  <c:v>43</c:v>
                </c:pt>
                <c:pt idx="1264">
                  <c:v>49</c:v>
                </c:pt>
                <c:pt idx="1265">
                  <c:v>64</c:v>
                </c:pt>
                <c:pt idx="1266">
                  <c:v>55</c:v>
                </c:pt>
                <c:pt idx="1267">
                  <c:v>24</c:v>
                </c:pt>
                <c:pt idx="1268">
                  <c:v>20</c:v>
                </c:pt>
                <c:pt idx="1269">
                  <c:v>45</c:v>
                </c:pt>
                <c:pt idx="1270">
                  <c:v>26</c:v>
                </c:pt>
                <c:pt idx="1271">
                  <c:v>25</c:v>
                </c:pt>
                <c:pt idx="1272">
                  <c:v>43</c:v>
                </c:pt>
                <c:pt idx="1273">
                  <c:v>35</c:v>
                </c:pt>
                <c:pt idx="1274">
                  <c:v>26</c:v>
                </c:pt>
                <c:pt idx="1275">
                  <c:v>57</c:v>
                </c:pt>
                <c:pt idx="1276">
                  <c:v>22</c:v>
                </c:pt>
                <c:pt idx="1277">
                  <c:v>32</c:v>
                </c:pt>
                <c:pt idx="1278">
                  <c:v>39</c:v>
                </c:pt>
                <c:pt idx="1279">
                  <c:v>25</c:v>
                </c:pt>
                <c:pt idx="1280">
                  <c:v>48</c:v>
                </c:pt>
                <c:pt idx="1281">
                  <c:v>47</c:v>
                </c:pt>
                <c:pt idx="1282">
                  <c:v>18</c:v>
                </c:pt>
                <c:pt idx="1283">
                  <c:v>18</c:v>
                </c:pt>
                <c:pt idx="1284">
                  <c:v>61</c:v>
                </c:pt>
                <c:pt idx="1285">
                  <c:v>47</c:v>
                </c:pt>
                <c:pt idx="1286">
                  <c:v>28</c:v>
                </c:pt>
                <c:pt idx="1287">
                  <c:v>36</c:v>
                </c:pt>
                <c:pt idx="1288">
                  <c:v>20</c:v>
                </c:pt>
                <c:pt idx="1289">
                  <c:v>44</c:v>
                </c:pt>
                <c:pt idx="1290">
                  <c:v>38</c:v>
                </c:pt>
                <c:pt idx="1291">
                  <c:v>19</c:v>
                </c:pt>
                <c:pt idx="1292">
                  <c:v>21</c:v>
                </c:pt>
                <c:pt idx="1293">
                  <c:v>46</c:v>
                </c:pt>
                <c:pt idx="1294">
                  <c:v>58</c:v>
                </c:pt>
                <c:pt idx="1295">
                  <c:v>20</c:v>
                </c:pt>
                <c:pt idx="1296">
                  <c:v>18</c:v>
                </c:pt>
                <c:pt idx="1297">
                  <c:v>28</c:v>
                </c:pt>
                <c:pt idx="1298">
                  <c:v>33</c:v>
                </c:pt>
                <c:pt idx="1299">
                  <c:v>19</c:v>
                </c:pt>
                <c:pt idx="1300">
                  <c:v>45</c:v>
                </c:pt>
                <c:pt idx="1301">
                  <c:v>62</c:v>
                </c:pt>
                <c:pt idx="1302">
                  <c:v>25</c:v>
                </c:pt>
                <c:pt idx="1303">
                  <c:v>43</c:v>
                </c:pt>
                <c:pt idx="1304">
                  <c:v>42</c:v>
                </c:pt>
                <c:pt idx="1305">
                  <c:v>24</c:v>
                </c:pt>
                <c:pt idx="1306">
                  <c:v>29</c:v>
                </c:pt>
                <c:pt idx="1307">
                  <c:v>32</c:v>
                </c:pt>
                <c:pt idx="1308">
                  <c:v>25</c:v>
                </c:pt>
                <c:pt idx="1309">
                  <c:v>41</c:v>
                </c:pt>
                <c:pt idx="1310">
                  <c:v>42</c:v>
                </c:pt>
                <c:pt idx="1311">
                  <c:v>33</c:v>
                </c:pt>
                <c:pt idx="1312">
                  <c:v>34</c:v>
                </c:pt>
                <c:pt idx="1313">
                  <c:v>19</c:v>
                </c:pt>
                <c:pt idx="1314">
                  <c:v>30</c:v>
                </c:pt>
                <c:pt idx="1315">
                  <c:v>18</c:v>
                </c:pt>
                <c:pt idx="1316">
                  <c:v>19</c:v>
                </c:pt>
                <c:pt idx="1317">
                  <c:v>18</c:v>
                </c:pt>
                <c:pt idx="1318">
                  <c:v>35</c:v>
                </c:pt>
                <c:pt idx="1319">
                  <c:v>39</c:v>
                </c:pt>
                <c:pt idx="1320">
                  <c:v>31</c:v>
                </c:pt>
                <c:pt idx="1321">
                  <c:v>62</c:v>
                </c:pt>
                <c:pt idx="1322">
                  <c:v>62</c:v>
                </c:pt>
                <c:pt idx="1323">
                  <c:v>42</c:v>
                </c:pt>
                <c:pt idx="1324">
                  <c:v>31</c:v>
                </c:pt>
                <c:pt idx="1325">
                  <c:v>61</c:v>
                </c:pt>
                <c:pt idx="1326">
                  <c:v>42</c:v>
                </c:pt>
                <c:pt idx="1327">
                  <c:v>51</c:v>
                </c:pt>
                <c:pt idx="1328">
                  <c:v>23</c:v>
                </c:pt>
                <c:pt idx="1329">
                  <c:v>52</c:v>
                </c:pt>
                <c:pt idx="1330">
                  <c:v>57</c:v>
                </c:pt>
                <c:pt idx="1331">
                  <c:v>23</c:v>
                </c:pt>
                <c:pt idx="1332">
                  <c:v>52</c:v>
                </c:pt>
                <c:pt idx="1333">
                  <c:v>50</c:v>
                </c:pt>
                <c:pt idx="1334">
                  <c:v>18</c:v>
                </c:pt>
                <c:pt idx="1335">
                  <c:v>18</c:v>
                </c:pt>
                <c:pt idx="1336">
                  <c:v>21</c:v>
                </c:pt>
                <c:pt idx="1337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3F-FD46-8915-CD7F7FAC9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452751"/>
        <c:axId val="428991871"/>
      </c:scatterChart>
      <c:valAx>
        <c:axId val="2076452751"/>
        <c:scaling>
          <c:orientation val="minMax"/>
        </c:scaling>
        <c:delete val="0"/>
        <c:axPos val="b"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28991871"/>
        <c:crosses val="autoZero"/>
        <c:crossBetween val="midCat"/>
      </c:valAx>
      <c:valAx>
        <c:axId val="428991871"/>
        <c:scaling>
          <c:orientation val="minMax"/>
        </c:scaling>
        <c:delete val="0"/>
        <c:axPos val="l"/>
        <c:majorGridlines>
          <c:spPr>
            <a:ln>
              <a:solidFill>
                <a:srgbClr val="EEEEFF"/>
              </a:solidFill>
            </a:ln>
          </c:spPr>
        </c:majorGridlines>
        <c:numFmt formatCode="0.000" sourceLinked="0"/>
        <c:majorTickMark val="out"/>
        <c:minorTickMark val="none"/>
        <c:tickLblPos val="nextTo"/>
        <c:crossAx val="207645275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/>
            </a:pPr>
            <a:r>
              <a:rPr lang="en-GB" sz="1000" b="0"/>
              <a:t>age vs children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3"/>
            <c:spPr>
              <a:ln/>
            </c:spPr>
          </c:marker>
          <c:xVal>
            <c:numRef>
              <c:f>insurance!$D$2:$D$1339</c:f>
              <c:numCache>
                <c:formatCode>General</c:formatCode>
                <c:ptCount val="133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3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0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5</c:v>
                </c:pt>
                <c:pt idx="72">
                  <c:v>3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4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2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3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2</c:v>
                </c:pt>
                <c:pt idx="164">
                  <c:v>0</c:v>
                </c:pt>
                <c:pt idx="165">
                  <c:v>4</c:v>
                </c:pt>
                <c:pt idx="166">
                  <c:v>5</c:v>
                </c:pt>
                <c:pt idx="167">
                  <c:v>3</c:v>
                </c:pt>
                <c:pt idx="168">
                  <c:v>1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3</c:v>
                </c:pt>
                <c:pt idx="183">
                  <c:v>0</c:v>
                </c:pt>
                <c:pt idx="184">
                  <c:v>2</c:v>
                </c:pt>
                <c:pt idx="185">
                  <c:v>3</c:v>
                </c:pt>
                <c:pt idx="186">
                  <c:v>2</c:v>
                </c:pt>
                <c:pt idx="187">
                  <c:v>3</c:v>
                </c:pt>
                <c:pt idx="188">
                  <c:v>1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2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4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3</c:v>
                </c:pt>
                <c:pt idx="223">
                  <c:v>0</c:v>
                </c:pt>
                <c:pt idx="224">
                  <c:v>0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0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0</c:v>
                </c:pt>
                <c:pt idx="237">
                  <c:v>2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3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3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3</c:v>
                </c:pt>
                <c:pt idx="263">
                  <c:v>0</c:v>
                </c:pt>
                <c:pt idx="264">
                  <c:v>3</c:v>
                </c:pt>
                <c:pt idx="265">
                  <c:v>3</c:v>
                </c:pt>
                <c:pt idx="266">
                  <c:v>1</c:v>
                </c:pt>
                <c:pt idx="267">
                  <c:v>3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2</c:v>
                </c:pt>
                <c:pt idx="277">
                  <c:v>0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3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3</c:v>
                </c:pt>
                <c:pt idx="290">
                  <c:v>0</c:v>
                </c:pt>
                <c:pt idx="291">
                  <c:v>1</c:v>
                </c:pt>
                <c:pt idx="292">
                  <c:v>2</c:v>
                </c:pt>
                <c:pt idx="293">
                  <c:v>0</c:v>
                </c:pt>
                <c:pt idx="294">
                  <c:v>3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</c:v>
                </c:pt>
                <c:pt idx="345">
                  <c:v>3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</c:v>
                </c:pt>
                <c:pt idx="357">
                  <c:v>3</c:v>
                </c:pt>
                <c:pt idx="358">
                  <c:v>0</c:v>
                </c:pt>
                <c:pt idx="359">
                  <c:v>0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2</c:v>
                </c:pt>
                <c:pt idx="369">
                  <c:v>3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2</c:v>
                </c:pt>
                <c:pt idx="374">
                  <c:v>0</c:v>
                </c:pt>
                <c:pt idx="375">
                  <c:v>0</c:v>
                </c:pt>
                <c:pt idx="376">
                  <c:v>3</c:v>
                </c:pt>
                <c:pt idx="377">
                  <c:v>0</c:v>
                </c:pt>
                <c:pt idx="378">
                  <c:v>3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2</c:v>
                </c:pt>
                <c:pt idx="384">
                  <c:v>2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3</c:v>
                </c:pt>
                <c:pt idx="390">
                  <c:v>4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2</c:v>
                </c:pt>
                <c:pt idx="395">
                  <c:v>0</c:v>
                </c:pt>
                <c:pt idx="396">
                  <c:v>3</c:v>
                </c:pt>
                <c:pt idx="397">
                  <c:v>0</c:v>
                </c:pt>
                <c:pt idx="398">
                  <c:v>2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3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1</c:v>
                </c:pt>
                <c:pt idx="408">
                  <c:v>3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2</c:v>
                </c:pt>
                <c:pt idx="413">
                  <c:v>5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2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2</c:v>
                </c:pt>
                <c:pt idx="425">
                  <c:v>5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3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3</c:v>
                </c:pt>
                <c:pt idx="438">
                  <c:v>5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4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2</c:v>
                </c:pt>
                <c:pt idx="457">
                  <c:v>0</c:v>
                </c:pt>
                <c:pt idx="458">
                  <c:v>0</c:v>
                </c:pt>
                <c:pt idx="459">
                  <c:v>3</c:v>
                </c:pt>
                <c:pt idx="460">
                  <c:v>3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3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</c:v>
                </c:pt>
                <c:pt idx="481">
                  <c:v>2</c:v>
                </c:pt>
                <c:pt idx="482">
                  <c:v>0</c:v>
                </c:pt>
                <c:pt idx="483">
                  <c:v>1</c:v>
                </c:pt>
                <c:pt idx="484">
                  <c:v>3</c:v>
                </c:pt>
                <c:pt idx="485">
                  <c:v>0</c:v>
                </c:pt>
                <c:pt idx="486">
                  <c:v>3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1</c:v>
                </c:pt>
                <c:pt idx="505">
                  <c:v>3</c:v>
                </c:pt>
                <c:pt idx="506">
                  <c:v>1</c:v>
                </c:pt>
                <c:pt idx="507">
                  <c:v>2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2</c:v>
                </c:pt>
                <c:pt idx="527">
                  <c:v>1</c:v>
                </c:pt>
                <c:pt idx="528">
                  <c:v>1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2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0</c:v>
                </c:pt>
                <c:pt idx="540">
                  <c:v>3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2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1</c:v>
                </c:pt>
                <c:pt idx="557">
                  <c:v>0</c:v>
                </c:pt>
                <c:pt idx="558">
                  <c:v>3</c:v>
                </c:pt>
                <c:pt idx="559">
                  <c:v>0</c:v>
                </c:pt>
                <c:pt idx="560">
                  <c:v>2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2</c:v>
                </c:pt>
                <c:pt idx="565">
                  <c:v>0</c:v>
                </c:pt>
                <c:pt idx="566">
                  <c:v>1</c:v>
                </c:pt>
                <c:pt idx="567">
                  <c:v>2</c:v>
                </c:pt>
                <c:pt idx="568">
                  <c:v>5</c:v>
                </c:pt>
                <c:pt idx="569">
                  <c:v>2</c:v>
                </c:pt>
                <c:pt idx="570">
                  <c:v>0</c:v>
                </c:pt>
                <c:pt idx="571">
                  <c:v>1</c:v>
                </c:pt>
                <c:pt idx="572">
                  <c:v>2</c:v>
                </c:pt>
                <c:pt idx="573">
                  <c:v>1</c:v>
                </c:pt>
                <c:pt idx="574">
                  <c:v>2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3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2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3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3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2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2</c:v>
                </c:pt>
                <c:pt idx="638">
                  <c:v>0</c:v>
                </c:pt>
                <c:pt idx="639">
                  <c:v>4</c:v>
                </c:pt>
                <c:pt idx="640">
                  <c:v>5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2</c:v>
                </c:pt>
                <c:pt idx="645">
                  <c:v>3</c:v>
                </c:pt>
                <c:pt idx="646">
                  <c:v>1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2</c:v>
                </c:pt>
                <c:pt idx="651">
                  <c:v>1</c:v>
                </c:pt>
                <c:pt idx="652">
                  <c:v>0</c:v>
                </c:pt>
                <c:pt idx="653">
                  <c:v>2</c:v>
                </c:pt>
                <c:pt idx="654">
                  <c:v>0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4</c:v>
                </c:pt>
                <c:pt idx="660">
                  <c:v>3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0</c:v>
                </c:pt>
                <c:pt idx="669">
                  <c:v>1</c:v>
                </c:pt>
                <c:pt idx="670">
                  <c:v>3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2</c:v>
                </c:pt>
                <c:pt idx="680">
                  <c:v>1</c:v>
                </c:pt>
                <c:pt idx="681">
                  <c:v>0</c:v>
                </c:pt>
                <c:pt idx="682">
                  <c:v>2</c:v>
                </c:pt>
                <c:pt idx="683">
                  <c:v>0</c:v>
                </c:pt>
                <c:pt idx="684">
                  <c:v>1</c:v>
                </c:pt>
                <c:pt idx="685">
                  <c:v>2</c:v>
                </c:pt>
                <c:pt idx="686">
                  <c:v>2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2</c:v>
                </c:pt>
                <c:pt idx="697">
                  <c:v>1</c:v>
                </c:pt>
                <c:pt idx="698">
                  <c:v>0</c:v>
                </c:pt>
                <c:pt idx="699">
                  <c:v>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0</c:v>
                </c:pt>
                <c:pt idx="707">
                  <c:v>3</c:v>
                </c:pt>
                <c:pt idx="708">
                  <c:v>3</c:v>
                </c:pt>
                <c:pt idx="709">
                  <c:v>0</c:v>
                </c:pt>
                <c:pt idx="710">
                  <c:v>1</c:v>
                </c:pt>
                <c:pt idx="711">
                  <c:v>2</c:v>
                </c:pt>
                <c:pt idx="712">
                  <c:v>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2</c:v>
                </c:pt>
                <c:pt idx="719">
                  <c:v>0</c:v>
                </c:pt>
                <c:pt idx="720">
                  <c:v>0</c:v>
                </c:pt>
                <c:pt idx="721">
                  <c:v>3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3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3</c:v>
                </c:pt>
                <c:pt idx="731">
                  <c:v>1</c:v>
                </c:pt>
                <c:pt idx="732">
                  <c:v>3</c:v>
                </c:pt>
                <c:pt idx="733">
                  <c:v>1</c:v>
                </c:pt>
                <c:pt idx="734">
                  <c:v>3</c:v>
                </c:pt>
                <c:pt idx="735">
                  <c:v>1</c:v>
                </c:pt>
                <c:pt idx="736">
                  <c:v>0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2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4</c:v>
                </c:pt>
                <c:pt idx="755">
                  <c:v>2</c:v>
                </c:pt>
                <c:pt idx="756">
                  <c:v>3</c:v>
                </c:pt>
                <c:pt idx="757">
                  <c:v>0</c:v>
                </c:pt>
                <c:pt idx="758">
                  <c:v>3</c:v>
                </c:pt>
                <c:pt idx="759">
                  <c:v>0</c:v>
                </c:pt>
                <c:pt idx="760">
                  <c:v>2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2</c:v>
                </c:pt>
                <c:pt idx="770">
                  <c:v>3</c:v>
                </c:pt>
                <c:pt idx="771">
                  <c:v>2</c:v>
                </c:pt>
                <c:pt idx="772">
                  <c:v>0</c:v>
                </c:pt>
                <c:pt idx="773">
                  <c:v>0</c:v>
                </c:pt>
                <c:pt idx="774">
                  <c:v>2</c:v>
                </c:pt>
                <c:pt idx="775">
                  <c:v>3</c:v>
                </c:pt>
                <c:pt idx="776">
                  <c:v>2</c:v>
                </c:pt>
                <c:pt idx="777">
                  <c:v>0</c:v>
                </c:pt>
                <c:pt idx="778">
                  <c:v>3</c:v>
                </c:pt>
                <c:pt idx="779">
                  <c:v>0</c:v>
                </c:pt>
                <c:pt idx="780">
                  <c:v>3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0</c:v>
                </c:pt>
                <c:pt idx="788">
                  <c:v>3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2</c:v>
                </c:pt>
                <c:pt idx="797">
                  <c:v>1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0</c:v>
                </c:pt>
                <c:pt idx="817">
                  <c:v>3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3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0</c:v>
                </c:pt>
                <c:pt idx="834">
                  <c:v>1</c:v>
                </c:pt>
                <c:pt idx="835">
                  <c:v>2</c:v>
                </c:pt>
                <c:pt idx="836">
                  <c:v>0</c:v>
                </c:pt>
                <c:pt idx="837">
                  <c:v>0</c:v>
                </c:pt>
                <c:pt idx="838">
                  <c:v>2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2</c:v>
                </c:pt>
                <c:pt idx="854">
                  <c:v>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2</c:v>
                </c:pt>
                <c:pt idx="861">
                  <c:v>3</c:v>
                </c:pt>
                <c:pt idx="862">
                  <c:v>2</c:v>
                </c:pt>
                <c:pt idx="863">
                  <c:v>0</c:v>
                </c:pt>
                <c:pt idx="864">
                  <c:v>0</c:v>
                </c:pt>
                <c:pt idx="865">
                  <c:v>2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3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3</c:v>
                </c:pt>
                <c:pt idx="875">
                  <c:v>0</c:v>
                </c:pt>
                <c:pt idx="876">
                  <c:v>1</c:v>
                </c:pt>
                <c:pt idx="877">
                  <c:v>5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1</c:v>
                </c:pt>
                <c:pt idx="882">
                  <c:v>0</c:v>
                </c:pt>
                <c:pt idx="883">
                  <c:v>3</c:v>
                </c:pt>
                <c:pt idx="884">
                  <c:v>4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4</c:v>
                </c:pt>
                <c:pt idx="892">
                  <c:v>0</c:v>
                </c:pt>
                <c:pt idx="893">
                  <c:v>2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2</c:v>
                </c:pt>
                <c:pt idx="906">
                  <c:v>3</c:v>
                </c:pt>
                <c:pt idx="907">
                  <c:v>1</c:v>
                </c:pt>
                <c:pt idx="908">
                  <c:v>3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3</c:v>
                </c:pt>
                <c:pt idx="913">
                  <c:v>1</c:v>
                </c:pt>
                <c:pt idx="914">
                  <c:v>2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2</c:v>
                </c:pt>
                <c:pt idx="926">
                  <c:v>2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5</c:v>
                </c:pt>
                <c:pt idx="933">
                  <c:v>0</c:v>
                </c:pt>
                <c:pt idx="934">
                  <c:v>2</c:v>
                </c:pt>
                <c:pt idx="935">
                  <c:v>0</c:v>
                </c:pt>
                <c:pt idx="936">
                  <c:v>2</c:v>
                </c:pt>
                <c:pt idx="937">
                  <c:v>5</c:v>
                </c:pt>
                <c:pt idx="938">
                  <c:v>2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2</c:v>
                </c:pt>
                <c:pt idx="947">
                  <c:v>1</c:v>
                </c:pt>
                <c:pt idx="948">
                  <c:v>0</c:v>
                </c:pt>
                <c:pt idx="949">
                  <c:v>3</c:v>
                </c:pt>
                <c:pt idx="950">
                  <c:v>0</c:v>
                </c:pt>
                <c:pt idx="951">
                  <c:v>2</c:v>
                </c:pt>
                <c:pt idx="952">
                  <c:v>1</c:v>
                </c:pt>
                <c:pt idx="953">
                  <c:v>2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1</c:v>
                </c:pt>
                <c:pt idx="963">
                  <c:v>3</c:v>
                </c:pt>
                <c:pt idx="964">
                  <c:v>2</c:v>
                </c:pt>
                <c:pt idx="965">
                  <c:v>1</c:v>
                </c:pt>
                <c:pt idx="966">
                  <c:v>2</c:v>
                </c:pt>
                <c:pt idx="967">
                  <c:v>1</c:v>
                </c:pt>
                <c:pt idx="968">
                  <c:v>2</c:v>
                </c:pt>
                <c:pt idx="969">
                  <c:v>5</c:v>
                </c:pt>
                <c:pt idx="970">
                  <c:v>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3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3</c:v>
                </c:pt>
                <c:pt idx="983">
                  <c:v>1</c:v>
                </c:pt>
                <c:pt idx="984">
                  <c:v>5</c:v>
                </c:pt>
                <c:pt idx="985">
                  <c:v>1</c:v>
                </c:pt>
                <c:pt idx="986">
                  <c:v>3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2</c:v>
                </c:pt>
                <c:pt idx="992">
                  <c:v>2</c:v>
                </c:pt>
                <c:pt idx="993">
                  <c:v>1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0</c:v>
                </c:pt>
                <c:pt idx="998">
                  <c:v>3</c:v>
                </c:pt>
                <c:pt idx="999">
                  <c:v>0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</c:v>
                </c:pt>
                <c:pt idx="1005">
                  <c:v>2</c:v>
                </c:pt>
                <c:pt idx="1006">
                  <c:v>2</c:v>
                </c:pt>
                <c:pt idx="1007">
                  <c:v>3</c:v>
                </c:pt>
                <c:pt idx="1008">
                  <c:v>2</c:v>
                </c:pt>
                <c:pt idx="1009">
                  <c:v>1</c:v>
                </c:pt>
                <c:pt idx="1010">
                  <c:v>0</c:v>
                </c:pt>
                <c:pt idx="1011">
                  <c:v>2</c:v>
                </c:pt>
                <c:pt idx="1012">
                  <c:v>4</c:v>
                </c:pt>
                <c:pt idx="1013">
                  <c:v>1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2</c:v>
                </c:pt>
                <c:pt idx="1018">
                  <c:v>3</c:v>
                </c:pt>
                <c:pt idx="1019">
                  <c:v>2</c:v>
                </c:pt>
                <c:pt idx="1020">
                  <c:v>0</c:v>
                </c:pt>
                <c:pt idx="1021">
                  <c:v>3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0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2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3</c:v>
                </c:pt>
                <c:pt idx="1036">
                  <c:v>2</c:v>
                </c:pt>
                <c:pt idx="1037">
                  <c:v>1</c:v>
                </c:pt>
                <c:pt idx="1038">
                  <c:v>0</c:v>
                </c:pt>
                <c:pt idx="1039">
                  <c:v>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2</c:v>
                </c:pt>
                <c:pt idx="1046">
                  <c:v>0</c:v>
                </c:pt>
                <c:pt idx="1047">
                  <c:v>1</c:v>
                </c:pt>
                <c:pt idx="1048">
                  <c:v>1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1</c:v>
                </c:pt>
                <c:pt idx="1053">
                  <c:v>3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1</c:v>
                </c:pt>
                <c:pt idx="1063">
                  <c:v>3</c:v>
                </c:pt>
                <c:pt idx="1064">
                  <c:v>4</c:v>
                </c:pt>
                <c:pt idx="1065">
                  <c:v>1</c:v>
                </c:pt>
                <c:pt idx="1066">
                  <c:v>2</c:v>
                </c:pt>
                <c:pt idx="1067">
                  <c:v>0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1</c:v>
                </c:pt>
                <c:pt idx="1077">
                  <c:v>0</c:v>
                </c:pt>
                <c:pt idx="1078">
                  <c:v>0</c:v>
                </c:pt>
                <c:pt idx="1079">
                  <c:v>3</c:v>
                </c:pt>
                <c:pt idx="1080">
                  <c:v>2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2</c:v>
                </c:pt>
                <c:pt idx="1085">
                  <c:v>5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3</c:v>
                </c:pt>
                <c:pt idx="1093">
                  <c:v>0</c:v>
                </c:pt>
                <c:pt idx="1094">
                  <c:v>4</c:v>
                </c:pt>
                <c:pt idx="1095">
                  <c:v>4</c:v>
                </c:pt>
                <c:pt idx="1096">
                  <c:v>2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2</c:v>
                </c:pt>
                <c:pt idx="1101">
                  <c:v>3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2</c:v>
                </c:pt>
                <c:pt idx="1108">
                  <c:v>1</c:v>
                </c:pt>
                <c:pt idx="1109">
                  <c:v>3</c:v>
                </c:pt>
                <c:pt idx="1110">
                  <c:v>1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0</c:v>
                </c:pt>
                <c:pt idx="1115">
                  <c:v>1</c:v>
                </c:pt>
                <c:pt idx="1116">
                  <c:v>5</c:v>
                </c:pt>
                <c:pt idx="1117">
                  <c:v>2</c:v>
                </c:pt>
                <c:pt idx="1118">
                  <c:v>1</c:v>
                </c:pt>
                <c:pt idx="1119">
                  <c:v>3</c:v>
                </c:pt>
                <c:pt idx="1120">
                  <c:v>0</c:v>
                </c:pt>
                <c:pt idx="1121">
                  <c:v>2</c:v>
                </c:pt>
                <c:pt idx="1122">
                  <c:v>3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2</c:v>
                </c:pt>
                <c:pt idx="1128">
                  <c:v>1</c:v>
                </c:pt>
                <c:pt idx="1129">
                  <c:v>0</c:v>
                </c:pt>
                <c:pt idx="1130">
                  <c:v>5</c:v>
                </c:pt>
                <c:pt idx="1131">
                  <c:v>2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1</c:v>
                </c:pt>
                <c:pt idx="1141">
                  <c:v>3</c:v>
                </c:pt>
                <c:pt idx="1142">
                  <c:v>0</c:v>
                </c:pt>
                <c:pt idx="1143">
                  <c:v>2</c:v>
                </c:pt>
                <c:pt idx="1144">
                  <c:v>2</c:v>
                </c:pt>
                <c:pt idx="1145">
                  <c:v>3</c:v>
                </c:pt>
                <c:pt idx="1146">
                  <c:v>0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3</c:v>
                </c:pt>
                <c:pt idx="1153">
                  <c:v>1</c:v>
                </c:pt>
                <c:pt idx="1154">
                  <c:v>4</c:v>
                </c:pt>
                <c:pt idx="1155">
                  <c:v>3</c:v>
                </c:pt>
                <c:pt idx="1156">
                  <c:v>0</c:v>
                </c:pt>
                <c:pt idx="1157">
                  <c:v>2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2</c:v>
                </c:pt>
                <c:pt idx="1162">
                  <c:v>1</c:v>
                </c:pt>
                <c:pt idx="1163">
                  <c:v>0</c:v>
                </c:pt>
                <c:pt idx="1164">
                  <c:v>1</c:v>
                </c:pt>
                <c:pt idx="1165">
                  <c:v>0</c:v>
                </c:pt>
                <c:pt idx="1166">
                  <c:v>0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1</c:v>
                </c:pt>
                <c:pt idx="1171">
                  <c:v>2</c:v>
                </c:pt>
                <c:pt idx="1172">
                  <c:v>0</c:v>
                </c:pt>
                <c:pt idx="1173">
                  <c:v>2</c:v>
                </c:pt>
                <c:pt idx="1174">
                  <c:v>2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1</c:v>
                </c:pt>
                <c:pt idx="1185">
                  <c:v>2</c:v>
                </c:pt>
                <c:pt idx="1186">
                  <c:v>3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2</c:v>
                </c:pt>
                <c:pt idx="1191">
                  <c:v>1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3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0</c:v>
                </c:pt>
                <c:pt idx="1203">
                  <c:v>1</c:v>
                </c:pt>
                <c:pt idx="1204">
                  <c:v>3</c:v>
                </c:pt>
                <c:pt idx="1205">
                  <c:v>1</c:v>
                </c:pt>
                <c:pt idx="1206">
                  <c:v>2</c:v>
                </c:pt>
                <c:pt idx="1207">
                  <c:v>2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2</c:v>
                </c:pt>
                <c:pt idx="1212">
                  <c:v>0</c:v>
                </c:pt>
                <c:pt idx="1213">
                  <c:v>2</c:v>
                </c:pt>
                <c:pt idx="1214">
                  <c:v>1</c:v>
                </c:pt>
                <c:pt idx="1215">
                  <c:v>0</c:v>
                </c:pt>
                <c:pt idx="1216">
                  <c:v>0</c:v>
                </c:pt>
                <c:pt idx="1217">
                  <c:v>2</c:v>
                </c:pt>
                <c:pt idx="1218">
                  <c:v>1</c:v>
                </c:pt>
                <c:pt idx="1219">
                  <c:v>3</c:v>
                </c:pt>
                <c:pt idx="1220">
                  <c:v>1</c:v>
                </c:pt>
                <c:pt idx="1221">
                  <c:v>2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2</c:v>
                </c:pt>
                <c:pt idx="1227">
                  <c:v>2</c:v>
                </c:pt>
                <c:pt idx="1228">
                  <c:v>0</c:v>
                </c:pt>
                <c:pt idx="1229">
                  <c:v>0</c:v>
                </c:pt>
                <c:pt idx="1230">
                  <c:v>3</c:v>
                </c:pt>
                <c:pt idx="1231">
                  <c:v>0</c:v>
                </c:pt>
                <c:pt idx="1232">
                  <c:v>3</c:v>
                </c:pt>
                <c:pt idx="1233">
                  <c:v>0</c:v>
                </c:pt>
                <c:pt idx="1234">
                  <c:v>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3</c:v>
                </c:pt>
                <c:pt idx="1239">
                  <c:v>1</c:v>
                </c:pt>
                <c:pt idx="1240">
                  <c:v>2</c:v>
                </c:pt>
                <c:pt idx="1241">
                  <c:v>2</c:v>
                </c:pt>
                <c:pt idx="1242">
                  <c:v>3</c:v>
                </c:pt>
                <c:pt idx="1243">
                  <c:v>0</c:v>
                </c:pt>
                <c:pt idx="1244">
                  <c:v>0</c:v>
                </c:pt>
                <c:pt idx="1245">
                  <c:v>5</c:v>
                </c:pt>
                <c:pt idx="1246">
                  <c:v>3</c:v>
                </c:pt>
                <c:pt idx="1247">
                  <c:v>4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4</c:v>
                </c:pt>
                <c:pt idx="1254">
                  <c:v>0</c:v>
                </c:pt>
                <c:pt idx="1255">
                  <c:v>0</c:v>
                </c:pt>
                <c:pt idx="1256">
                  <c:v>3</c:v>
                </c:pt>
                <c:pt idx="1257">
                  <c:v>1</c:v>
                </c:pt>
                <c:pt idx="1258">
                  <c:v>3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2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</c:v>
                </c:pt>
                <c:pt idx="1270">
                  <c:v>1</c:v>
                </c:pt>
                <c:pt idx="1271">
                  <c:v>0</c:v>
                </c:pt>
                <c:pt idx="1272">
                  <c:v>5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2</c:v>
                </c:pt>
                <c:pt idx="1280">
                  <c:v>0</c:v>
                </c:pt>
                <c:pt idx="1281">
                  <c:v>2</c:v>
                </c:pt>
                <c:pt idx="1282">
                  <c:v>0</c:v>
                </c:pt>
                <c:pt idx="1283">
                  <c:v>1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2</c:v>
                </c:pt>
                <c:pt idx="1289">
                  <c:v>1</c:v>
                </c:pt>
                <c:pt idx="1290">
                  <c:v>2</c:v>
                </c:pt>
                <c:pt idx="1291">
                  <c:v>0</c:v>
                </c:pt>
                <c:pt idx="1292">
                  <c:v>0</c:v>
                </c:pt>
                <c:pt idx="1293">
                  <c:v>3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2</c:v>
                </c:pt>
                <c:pt idx="1298">
                  <c:v>2</c:v>
                </c:pt>
                <c:pt idx="1299">
                  <c:v>1</c:v>
                </c:pt>
                <c:pt idx="1300">
                  <c:v>0</c:v>
                </c:pt>
                <c:pt idx="1301">
                  <c:v>3</c:v>
                </c:pt>
                <c:pt idx="1302">
                  <c:v>1</c:v>
                </c:pt>
                <c:pt idx="1303">
                  <c:v>0</c:v>
                </c:pt>
                <c:pt idx="1304">
                  <c:v>2</c:v>
                </c:pt>
                <c:pt idx="1305">
                  <c:v>0</c:v>
                </c:pt>
                <c:pt idx="1306">
                  <c:v>0</c:v>
                </c:pt>
                <c:pt idx="1307">
                  <c:v>4</c:v>
                </c:pt>
                <c:pt idx="1308">
                  <c:v>0</c:v>
                </c:pt>
                <c:pt idx="1309">
                  <c:v>2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3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4</c:v>
                </c:pt>
                <c:pt idx="1319">
                  <c:v>2</c:v>
                </c:pt>
                <c:pt idx="1320">
                  <c:v>3</c:v>
                </c:pt>
                <c:pt idx="1321">
                  <c:v>0</c:v>
                </c:pt>
                <c:pt idx="1322">
                  <c:v>0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0</c:v>
                </c:pt>
                <c:pt idx="1332">
                  <c:v>3</c:v>
                </c:pt>
                <c:pt idx="1333">
                  <c:v>3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</c:numCache>
            </c:numRef>
          </c:xVal>
          <c:yVal>
            <c:numRef>
              <c:f>insurance!$A$2:$A$1339</c:f>
              <c:numCache>
                <c:formatCode>General</c:formatCode>
                <c:ptCount val="1338"/>
                <c:pt idx="0">
                  <c:v>19</c:v>
                </c:pt>
                <c:pt idx="1">
                  <c:v>18</c:v>
                </c:pt>
                <c:pt idx="2">
                  <c:v>28</c:v>
                </c:pt>
                <c:pt idx="3">
                  <c:v>33</c:v>
                </c:pt>
                <c:pt idx="4">
                  <c:v>32</c:v>
                </c:pt>
                <c:pt idx="5">
                  <c:v>31</c:v>
                </c:pt>
                <c:pt idx="6">
                  <c:v>46</c:v>
                </c:pt>
                <c:pt idx="7">
                  <c:v>37</c:v>
                </c:pt>
                <c:pt idx="8">
                  <c:v>37</c:v>
                </c:pt>
                <c:pt idx="9">
                  <c:v>60</c:v>
                </c:pt>
                <c:pt idx="10">
                  <c:v>25</c:v>
                </c:pt>
                <c:pt idx="11">
                  <c:v>62</c:v>
                </c:pt>
                <c:pt idx="12">
                  <c:v>23</c:v>
                </c:pt>
                <c:pt idx="13">
                  <c:v>56</c:v>
                </c:pt>
                <c:pt idx="14">
                  <c:v>27</c:v>
                </c:pt>
                <c:pt idx="15">
                  <c:v>19</c:v>
                </c:pt>
                <c:pt idx="16">
                  <c:v>52</c:v>
                </c:pt>
                <c:pt idx="17">
                  <c:v>23</c:v>
                </c:pt>
                <c:pt idx="18">
                  <c:v>56</c:v>
                </c:pt>
                <c:pt idx="19">
                  <c:v>30</c:v>
                </c:pt>
                <c:pt idx="20">
                  <c:v>60</c:v>
                </c:pt>
                <c:pt idx="21">
                  <c:v>30</c:v>
                </c:pt>
                <c:pt idx="22">
                  <c:v>18</c:v>
                </c:pt>
                <c:pt idx="23">
                  <c:v>34</c:v>
                </c:pt>
                <c:pt idx="24">
                  <c:v>37</c:v>
                </c:pt>
                <c:pt idx="25">
                  <c:v>59</c:v>
                </c:pt>
                <c:pt idx="26">
                  <c:v>63</c:v>
                </c:pt>
                <c:pt idx="27">
                  <c:v>55</c:v>
                </c:pt>
                <c:pt idx="28">
                  <c:v>23</c:v>
                </c:pt>
                <c:pt idx="29">
                  <c:v>31</c:v>
                </c:pt>
                <c:pt idx="30">
                  <c:v>22</c:v>
                </c:pt>
                <c:pt idx="31">
                  <c:v>18</c:v>
                </c:pt>
                <c:pt idx="32">
                  <c:v>19</c:v>
                </c:pt>
                <c:pt idx="33">
                  <c:v>63</c:v>
                </c:pt>
                <c:pt idx="34">
                  <c:v>28</c:v>
                </c:pt>
                <c:pt idx="35">
                  <c:v>19</c:v>
                </c:pt>
                <c:pt idx="36">
                  <c:v>62</c:v>
                </c:pt>
                <c:pt idx="37">
                  <c:v>26</c:v>
                </c:pt>
                <c:pt idx="38">
                  <c:v>35</c:v>
                </c:pt>
                <c:pt idx="39">
                  <c:v>60</c:v>
                </c:pt>
                <c:pt idx="40">
                  <c:v>24</c:v>
                </c:pt>
                <c:pt idx="41">
                  <c:v>31</c:v>
                </c:pt>
                <c:pt idx="42">
                  <c:v>41</c:v>
                </c:pt>
                <c:pt idx="43">
                  <c:v>37</c:v>
                </c:pt>
                <c:pt idx="44">
                  <c:v>38</c:v>
                </c:pt>
                <c:pt idx="45">
                  <c:v>55</c:v>
                </c:pt>
                <c:pt idx="46">
                  <c:v>18</c:v>
                </c:pt>
                <c:pt idx="47">
                  <c:v>28</c:v>
                </c:pt>
                <c:pt idx="48">
                  <c:v>60</c:v>
                </c:pt>
                <c:pt idx="49">
                  <c:v>36</c:v>
                </c:pt>
                <c:pt idx="50">
                  <c:v>18</c:v>
                </c:pt>
                <c:pt idx="51">
                  <c:v>21</c:v>
                </c:pt>
                <c:pt idx="52">
                  <c:v>48</c:v>
                </c:pt>
                <c:pt idx="53">
                  <c:v>36</c:v>
                </c:pt>
                <c:pt idx="54">
                  <c:v>40</c:v>
                </c:pt>
                <c:pt idx="55">
                  <c:v>58</c:v>
                </c:pt>
                <c:pt idx="56">
                  <c:v>58</c:v>
                </c:pt>
                <c:pt idx="57">
                  <c:v>18</c:v>
                </c:pt>
                <c:pt idx="58">
                  <c:v>53</c:v>
                </c:pt>
                <c:pt idx="59">
                  <c:v>34</c:v>
                </c:pt>
                <c:pt idx="60">
                  <c:v>43</c:v>
                </c:pt>
                <c:pt idx="61">
                  <c:v>25</c:v>
                </c:pt>
                <c:pt idx="62">
                  <c:v>64</c:v>
                </c:pt>
                <c:pt idx="63">
                  <c:v>28</c:v>
                </c:pt>
                <c:pt idx="64">
                  <c:v>20</c:v>
                </c:pt>
                <c:pt idx="65">
                  <c:v>19</c:v>
                </c:pt>
                <c:pt idx="66">
                  <c:v>61</c:v>
                </c:pt>
                <c:pt idx="67">
                  <c:v>40</c:v>
                </c:pt>
                <c:pt idx="68">
                  <c:v>40</c:v>
                </c:pt>
                <c:pt idx="69">
                  <c:v>28</c:v>
                </c:pt>
                <c:pt idx="70">
                  <c:v>27</c:v>
                </c:pt>
                <c:pt idx="71">
                  <c:v>31</c:v>
                </c:pt>
                <c:pt idx="72">
                  <c:v>53</c:v>
                </c:pt>
                <c:pt idx="73">
                  <c:v>58</c:v>
                </c:pt>
                <c:pt idx="74">
                  <c:v>44</c:v>
                </c:pt>
                <c:pt idx="75">
                  <c:v>57</c:v>
                </c:pt>
                <c:pt idx="76">
                  <c:v>29</c:v>
                </c:pt>
                <c:pt idx="77">
                  <c:v>21</c:v>
                </c:pt>
                <c:pt idx="78">
                  <c:v>22</c:v>
                </c:pt>
                <c:pt idx="79">
                  <c:v>41</c:v>
                </c:pt>
                <c:pt idx="80">
                  <c:v>31</c:v>
                </c:pt>
                <c:pt idx="81">
                  <c:v>45</c:v>
                </c:pt>
                <c:pt idx="82">
                  <c:v>22</c:v>
                </c:pt>
                <c:pt idx="83">
                  <c:v>48</c:v>
                </c:pt>
                <c:pt idx="84">
                  <c:v>37</c:v>
                </c:pt>
                <c:pt idx="85">
                  <c:v>45</c:v>
                </c:pt>
                <c:pt idx="86">
                  <c:v>57</c:v>
                </c:pt>
                <c:pt idx="87">
                  <c:v>56</c:v>
                </c:pt>
                <c:pt idx="88">
                  <c:v>46</c:v>
                </c:pt>
                <c:pt idx="89">
                  <c:v>55</c:v>
                </c:pt>
                <c:pt idx="90">
                  <c:v>21</c:v>
                </c:pt>
                <c:pt idx="91">
                  <c:v>53</c:v>
                </c:pt>
                <c:pt idx="92">
                  <c:v>59</c:v>
                </c:pt>
                <c:pt idx="93">
                  <c:v>35</c:v>
                </c:pt>
                <c:pt idx="94">
                  <c:v>64</c:v>
                </c:pt>
                <c:pt idx="95">
                  <c:v>28</c:v>
                </c:pt>
                <c:pt idx="96">
                  <c:v>54</c:v>
                </c:pt>
                <c:pt idx="97">
                  <c:v>55</c:v>
                </c:pt>
                <c:pt idx="98">
                  <c:v>56</c:v>
                </c:pt>
                <c:pt idx="99">
                  <c:v>38</c:v>
                </c:pt>
                <c:pt idx="100">
                  <c:v>41</c:v>
                </c:pt>
                <c:pt idx="101">
                  <c:v>30</c:v>
                </c:pt>
                <c:pt idx="102">
                  <c:v>18</c:v>
                </c:pt>
                <c:pt idx="103">
                  <c:v>61</c:v>
                </c:pt>
                <c:pt idx="104">
                  <c:v>34</c:v>
                </c:pt>
                <c:pt idx="105">
                  <c:v>20</c:v>
                </c:pt>
                <c:pt idx="106">
                  <c:v>19</c:v>
                </c:pt>
                <c:pt idx="107">
                  <c:v>26</c:v>
                </c:pt>
                <c:pt idx="108">
                  <c:v>29</c:v>
                </c:pt>
                <c:pt idx="109">
                  <c:v>63</c:v>
                </c:pt>
                <c:pt idx="110">
                  <c:v>54</c:v>
                </c:pt>
                <c:pt idx="111">
                  <c:v>55</c:v>
                </c:pt>
                <c:pt idx="112">
                  <c:v>37</c:v>
                </c:pt>
                <c:pt idx="113">
                  <c:v>21</c:v>
                </c:pt>
                <c:pt idx="114">
                  <c:v>52</c:v>
                </c:pt>
                <c:pt idx="115">
                  <c:v>60</c:v>
                </c:pt>
                <c:pt idx="116">
                  <c:v>58</c:v>
                </c:pt>
                <c:pt idx="117">
                  <c:v>29</c:v>
                </c:pt>
                <c:pt idx="118">
                  <c:v>49</c:v>
                </c:pt>
                <c:pt idx="119">
                  <c:v>37</c:v>
                </c:pt>
                <c:pt idx="120">
                  <c:v>44</c:v>
                </c:pt>
                <c:pt idx="121">
                  <c:v>18</c:v>
                </c:pt>
                <c:pt idx="122">
                  <c:v>20</c:v>
                </c:pt>
                <c:pt idx="123">
                  <c:v>44</c:v>
                </c:pt>
                <c:pt idx="124">
                  <c:v>47</c:v>
                </c:pt>
                <c:pt idx="125">
                  <c:v>26</c:v>
                </c:pt>
                <c:pt idx="126">
                  <c:v>19</c:v>
                </c:pt>
                <c:pt idx="127">
                  <c:v>52</c:v>
                </c:pt>
                <c:pt idx="128">
                  <c:v>32</c:v>
                </c:pt>
                <c:pt idx="129">
                  <c:v>38</c:v>
                </c:pt>
                <c:pt idx="130">
                  <c:v>59</c:v>
                </c:pt>
                <c:pt idx="131">
                  <c:v>61</c:v>
                </c:pt>
                <c:pt idx="132">
                  <c:v>53</c:v>
                </c:pt>
                <c:pt idx="133">
                  <c:v>19</c:v>
                </c:pt>
                <c:pt idx="134">
                  <c:v>20</c:v>
                </c:pt>
                <c:pt idx="135">
                  <c:v>22</c:v>
                </c:pt>
                <c:pt idx="136">
                  <c:v>19</c:v>
                </c:pt>
                <c:pt idx="137">
                  <c:v>22</c:v>
                </c:pt>
                <c:pt idx="138">
                  <c:v>54</c:v>
                </c:pt>
                <c:pt idx="139">
                  <c:v>22</c:v>
                </c:pt>
                <c:pt idx="140">
                  <c:v>34</c:v>
                </c:pt>
                <c:pt idx="141">
                  <c:v>26</c:v>
                </c:pt>
                <c:pt idx="142">
                  <c:v>34</c:v>
                </c:pt>
                <c:pt idx="143">
                  <c:v>29</c:v>
                </c:pt>
                <c:pt idx="144">
                  <c:v>30</c:v>
                </c:pt>
                <c:pt idx="145">
                  <c:v>29</c:v>
                </c:pt>
                <c:pt idx="146">
                  <c:v>46</c:v>
                </c:pt>
                <c:pt idx="147">
                  <c:v>51</c:v>
                </c:pt>
                <c:pt idx="148">
                  <c:v>53</c:v>
                </c:pt>
                <c:pt idx="149">
                  <c:v>19</c:v>
                </c:pt>
                <c:pt idx="150">
                  <c:v>35</c:v>
                </c:pt>
                <c:pt idx="151">
                  <c:v>48</c:v>
                </c:pt>
                <c:pt idx="152">
                  <c:v>32</c:v>
                </c:pt>
                <c:pt idx="153">
                  <c:v>42</c:v>
                </c:pt>
                <c:pt idx="154">
                  <c:v>40</c:v>
                </c:pt>
                <c:pt idx="155">
                  <c:v>44</c:v>
                </c:pt>
                <c:pt idx="156">
                  <c:v>48</c:v>
                </c:pt>
                <c:pt idx="157">
                  <c:v>18</c:v>
                </c:pt>
                <c:pt idx="158">
                  <c:v>30</c:v>
                </c:pt>
                <c:pt idx="159">
                  <c:v>50</c:v>
                </c:pt>
                <c:pt idx="160">
                  <c:v>42</c:v>
                </c:pt>
                <c:pt idx="161">
                  <c:v>18</c:v>
                </c:pt>
                <c:pt idx="162">
                  <c:v>54</c:v>
                </c:pt>
                <c:pt idx="163">
                  <c:v>32</c:v>
                </c:pt>
                <c:pt idx="164">
                  <c:v>37</c:v>
                </c:pt>
                <c:pt idx="165">
                  <c:v>47</c:v>
                </c:pt>
                <c:pt idx="166">
                  <c:v>20</c:v>
                </c:pt>
                <c:pt idx="167">
                  <c:v>32</c:v>
                </c:pt>
                <c:pt idx="168">
                  <c:v>19</c:v>
                </c:pt>
                <c:pt idx="169">
                  <c:v>27</c:v>
                </c:pt>
                <c:pt idx="170">
                  <c:v>63</c:v>
                </c:pt>
                <c:pt idx="171">
                  <c:v>49</c:v>
                </c:pt>
                <c:pt idx="172">
                  <c:v>18</c:v>
                </c:pt>
                <c:pt idx="173">
                  <c:v>35</c:v>
                </c:pt>
                <c:pt idx="174">
                  <c:v>24</c:v>
                </c:pt>
                <c:pt idx="175">
                  <c:v>63</c:v>
                </c:pt>
                <c:pt idx="176">
                  <c:v>38</c:v>
                </c:pt>
                <c:pt idx="177">
                  <c:v>54</c:v>
                </c:pt>
                <c:pt idx="178">
                  <c:v>46</c:v>
                </c:pt>
                <c:pt idx="179">
                  <c:v>41</c:v>
                </c:pt>
                <c:pt idx="180">
                  <c:v>58</c:v>
                </c:pt>
                <c:pt idx="181">
                  <c:v>18</c:v>
                </c:pt>
                <c:pt idx="182">
                  <c:v>22</c:v>
                </c:pt>
                <c:pt idx="183">
                  <c:v>44</c:v>
                </c:pt>
                <c:pt idx="184">
                  <c:v>44</c:v>
                </c:pt>
                <c:pt idx="185">
                  <c:v>36</c:v>
                </c:pt>
                <c:pt idx="186">
                  <c:v>26</c:v>
                </c:pt>
                <c:pt idx="187">
                  <c:v>30</c:v>
                </c:pt>
                <c:pt idx="188">
                  <c:v>41</c:v>
                </c:pt>
                <c:pt idx="189">
                  <c:v>29</c:v>
                </c:pt>
                <c:pt idx="190">
                  <c:v>61</c:v>
                </c:pt>
                <c:pt idx="191">
                  <c:v>36</c:v>
                </c:pt>
                <c:pt idx="192">
                  <c:v>25</c:v>
                </c:pt>
                <c:pt idx="193">
                  <c:v>56</c:v>
                </c:pt>
                <c:pt idx="194">
                  <c:v>18</c:v>
                </c:pt>
                <c:pt idx="195">
                  <c:v>19</c:v>
                </c:pt>
                <c:pt idx="196">
                  <c:v>39</c:v>
                </c:pt>
                <c:pt idx="197">
                  <c:v>45</c:v>
                </c:pt>
                <c:pt idx="198">
                  <c:v>51</c:v>
                </c:pt>
                <c:pt idx="199">
                  <c:v>64</c:v>
                </c:pt>
                <c:pt idx="200">
                  <c:v>19</c:v>
                </c:pt>
                <c:pt idx="201">
                  <c:v>48</c:v>
                </c:pt>
                <c:pt idx="202">
                  <c:v>60</c:v>
                </c:pt>
                <c:pt idx="203">
                  <c:v>27</c:v>
                </c:pt>
                <c:pt idx="204">
                  <c:v>46</c:v>
                </c:pt>
                <c:pt idx="205">
                  <c:v>28</c:v>
                </c:pt>
                <c:pt idx="206">
                  <c:v>59</c:v>
                </c:pt>
                <c:pt idx="207">
                  <c:v>35</c:v>
                </c:pt>
                <c:pt idx="208">
                  <c:v>63</c:v>
                </c:pt>
                <c:pt idx="209">
                  <c:v>40</c:v>
                </c:pt>
                <c:pt idx="210">
                  <c:v>20</c:v>
                </c:pt>
                <c:pt idx="211">
                  <c:v>40</c:v>
                </c:pt>
                <c:pt idx="212">
                  <c:v>24</c:v>
                </c:pt>
                <c:pt idx="213">
                  <c:v>34</c:v>
                </c:pt>
                <c:pt idx="214">
                  <c:v>45</c:v>
                </c:pt>
                <c:pt idx="215">
                  <c:v>41</c:v>
                </c:pt>
                <c:pt idx="216">
                  <c:v>53</c:v>
                </c:pt>
                <c:pt idx="217">
                  <c:v>27</c:v>
                </c:pt>
                <c:pt idx="218">
                  <c:v>26</c:v>
                </c:pt>
                <c:pt idx="219">
                  <c:v>24</c:v>
                </c:pt>
                <c:pt idx="220">
                  <c:v>34</c:v>
                </c:pt>
                <c:pt idx="221">
                  <c:v>53</c:v>
                </c:pt>
                <c:pt idx="222">
                  <c:v>32</c:v>
                </c:pt>
                <c:pt idx="223">
                  <c:v>19</c:v>
                </c:pt>
                <c:pt idx="224">
                  <c:v>42</c:v>
                </c:pt>
                <c:pt idx="225">
                  <c:v>55</c:v>
                </c:pt>
                <c:pt idx="226">
                  <c:v>28</c:v>
                </c:pt>
                <c:pt idx="227">
                  <c:v>58</c:v>
                </c:pt>
                <c:pt idx="228">
                  <c:v>41</c:v>
                </c:pt>
                <c:pt idx="229">
                  <c:v>47</c:v>
                </c:pt>
                <c:pt idx="230">
                  <c:v>42</c:v>
                </c:pt>
                <c:pt idx="231">
                  <c:v>59</c:v>
                </c:pt>
                <c:pt idx="232">
                  <c:v>19</c:v>
                </c:pt>
                <c:pt idx="233">
                  <c:v>59</c:v>
                </c:pt>
                <c:pt idx="234">
                  <c:v>39</c:v>
                </c:pt>
                <c:pt idx="235">
                  <c:v>40</c:v>
                </c:pt>
                <c:pt idx="236">
                  <c:v>18</c:v>
                </c:pt>
                <c:pt idx="237">
                  <c:v>31</c:v>
                </c:pt>
                <c:pt idx="238">
                  <c:v>19</c:v>
                </c:pt>
                <c:pt idx="239">
                  <c:v>44</c:v>
                </c:pt>
                <c:pt idx="240">
                  <c:v>23</c:v>
                </c:pt>
                <c:pt idx="241">
                  <c:v>33</c:v>
                </c:pt>
                <c:pt idx="242">
                  <c:v>55</c:v>
                </c:pt>
                <c:pt idx="243">
                  <c:v>40</c:v>
                </c:pt>
                <c:pt idx="244">
                  <c:v>63</c:v>
                </c:pt>
                <c:pt idx="245">
                  <c:v>54</c:v>
                </c:pt>
                <c:pt idx="246">
                  <c:v>60</c:v>
                </c:pt>
                <c:pt idx="247">
                  <c:v>24</c:v>
                </c:pt>
                <c:pt idx="248">
                  <c:v>19</c:v>
                </c:pt>
                <c:pt idx="249">
                  <c:v>29</c:v>
                </c:pt>
                <c:pt idx="250">
                  <c:v>18</c:v>
                </c:pt>
                <c:pt idx="251">
                  <c:v>63</c:v>
                </c:pt>
                <c:pt idx="252">
                  <c:v>54</c:v>
                </c:pt>
                <c:pt idx="253">
                  <c:v>27</c:v>
                </c:pt>
                <c:pt idx="254">
                  <c:v>50</c:v>
                </c:pt>
                <c:pt idx="255">
                  <c:v>55</c:v>
                </c:pt>
                <c:pt idx="256">
                  <c:v>56</c:v>
                </c:pt>
                <c:pt idx="257">
                  <c:v>38</c:v>
                </c:pt>
                <c:pt idx="258">
                  <c:v>51</c:v>
                </c:pt>
                <c:pt idx="259">
                  <c:v>19</c:v>
                </c:pt>
                <c:pt idx="260">
                  <c:v>58</c:v>
                </c:pt>
                <c:pt idx="261">
                  <c:v>20</c:v>
                </c:pt>
                <c:pt idx="262">
                  <c:v>52</c:v>
                </c:pt>
                <c:pt idx="263">
                  <c:v>19</c:v>
                </c:pt>
                <c:pt idx="264">
                  <c:v>53</c:v>
                </c:pt>
                <c:pt idx="265">
                  <c:v>46</c:v>
                </c:pt>
                <c:pt idx="266">
                  <c:v>40</c:v>
                </c:pt>
                <c:pt idx="267">
                  <c:v>59</c:v>
                </c:pt>
                <c:pt idx="268">
                  <c:v>45</c:v>
                </c:pt>
                <c:pt idx="269">
                  <c:v>49</c:v>
                </c:pt>
                <c:pt idx="270">
                  <c:v>18</c:v>
                </c:pt>
                <c:pt idx="271">
                  <c:v>50</c:v>
                </c:pt>
                <c:pt idx="272">
                  <c:v>41</c:v>
                </c:pt>
                <c:pt idx="273">
                  <c:v>50</c:v>
                </c:pt>
                <c:pt idx="274">
                  <c:v>25</c:v>
                </c:pt>
                <c:pt idx="275">
                  <c:v>47</c:v>
                </c:pt>
                <c:pt idx="276">
                  <c:v>19</c:v>
                </c:pt>
                <c:pt idx="277">
                  <c:v>22</c:v>
                </c:pt>
                <c:pt idx="278">
                  <c:v>59</c:v>
                </c:pt>
                <c:pt idx="279">
                  <c:v>51</c:v>
                </c:pt>
                <c:pt idx="280">
                  <c:v>40</c:v>
                </c:pt>
                <c:pt idx="281">
                  <c:v>54</c:v>
                </c:pt>
                <c:pt idx="282">
                  <c:v>30</c:v>
                </c:pt>
                <c:pt idx="283">
                  <c:v>55</c:v>
                </c:pt>
                <c:pt idx="284">
                  <c:v>52</c:v>
                </c:pt>
                <c:pt idx="285">
                  <c:v>46</c:v>
                </c:pt>
                <c:pt idx="286">
                  <c:v>46</c:v>
                </c:pt>
                <c:pt idx="287">
                  <c:v>63</c:v>
                </c:pt>
                <c:pt idx="288">
                  <c:v>59</c:v>
                </c:pt>
                <c:pt idx="289">
                  <c:v>52</c:v>
                </c:pt>
                <c:pt idx="290">
                  <c:v>28</c:v>
                </c:pt>
                <c:pt idx="291">
                  <c:v>29</c:v>
                </c:pt>
                <c:pt idx="292">
                  <c:v>25</c:v>
                </c:pt>
                <c:pt idx="293">
                  <c:v>22</c:v>
                </c:pt>
                <c:pt idx="294">
                  <c:v>25</c:v>
                </c:pt>
                <c:pt idx="295">
                  <c:v>18</c:v>
                </c:pt>
                <c:pt idx="296">
                  <c:v>19</c:v>
                </c:pt>
                <c:pt idx="297">
                  <c:v>47</c:v>
                </c:pt>
                <c:pt idx="298">
                  <c:v>31</c:v>
                </c:pt>
                <c:pt idx="299">
                  <c:v>48</c:v>
                </c:pt>
                <c:pt idx="300">
                  <c:v>36</c:v>
                </c:pt>
                <c:pt idx="301">
                  <c:v>53</c:v>
                </c:pt>
                <c:pt idx="302">
                  <c:v>56</c:v>
                </c:pt>
                <c:pt idx="303">
                  <c:v>28</c:v>
                </c:pt>
                <c:pt idx="304">
                  <c:v>57</c:v>
                </c:pt>
                <c:pt idx="305">
                  <c:v>29</c:v>
                </c:pt>
                <c:pt idx="306">
                  <c:v>28</c:v>
                </c:pt>
                <c:pt idx="307">
                  <c:v>30</c:v>
                </c:pt>
                <c:pt idx="308">
                  <c:v>58</c:v>
                </c:pt>
                <c:pt idx="309">
                  <c:v>41</c:v>
                </c:pt>
                <c:pt idx="310">
                  <c:v>50</c:v>
                </c:pt>
                <c:pt idx="311">
                  <c:v>19</c:v>
                </c:pt>
                <c:pt idx="312">
                  <c:v>43</c:v>
                </c:pt>
                <c:pt idx="313">
                  <c:v>49</c:v>
                </c:pt>
                <c:pt idx="314">
                  <c:v>27</c:v>
                </c:pt>
                <c:pt idx="315">
                  <c:v>52</c:v>
                </c:pt>
                <c:pt idx="316">
                  <c:v>50</c:v>
                </c:pt>
                <c:pt idx="317">
                  <c:v>54</c:v>
                </c:pt>
                <c:pt idx="318">
                  <c:v>44</c:v>
                </c:pt>
                <c:pt idx="319">
                  <c:v>32</c:v>
                </c:pt>
                <c:pt idx="320">
                  <c:v>34</c:v>
                </c:pt>
                <c:pt idx="321">
                  <c:v>26</c:v>
                </c:pt>
                <c:pt idx="322">
                  <c:v>34</c:v>
                </c:pt>
                <c:pt idx="323">
                  <c:v>57</c:v>
                </c:pt>
                <c:pt idx="324">
                  <c:v>29</c:v>
                </c:pt>
                <c:pt idx="325">
                  <c:v>40</c:v>
                </c:pt>
                <c:pt idx="326">
                  <c:v>27</c:v>
                </c:pt>
                <c:pt idx="327">
                  <c:v>45</c:v>
                </c:pt>
                <c:pt idx="328">
                  <c:v>64</c:v>
                </c:pt>
                <c:pt idx="329">
                  <c:v>52</c:v>
                </c:pt>
                <c:pt idx="330">
                  <c:v>61</c:v>
                </c:pt>
                <c:pt idx="331">
                  <c:v>52</c:v>
                </c:pt>
                <c:pt idx="332">
                  <c:v>61</c:v>
                </c:pt>
                <c:pt idx="333">
                  <c:v>56</c:v>
                </c:pt>
                <c:pt idx="334">
                  <c:v>43</c:v>
                </c:pt>
                <c:pt idx="335">
                  <c:v>64</c:v>
                </c:pt>
                <c:pt idx="336">
                  <c:v>60</c:v>
                </c:pt>
                <c:pt idx="337">
                  <c:v>62</c:v>
                </c:pt>
                <c:pt idx="338">
                  <c:v>50</c:v>
                </c:pt>
                <c:pt idx="339">
                  <c:v>46</c:v>
                </c:pt>
                <c:pt idx="340">
                  <c:v>24</c:v>
                </c:pt>
                <c:pt idx="341">
                  <c:v>62</c:v>
                </c:pt>
                <c:pt idx="342">
                  <c:v>60</c:v>
                </c:pt>
                <c:pt idx="343">
                  <c:v>63</c:v>
                </c:pt>
                <c:pt idx="344">
                  <c:v>49</c:v>
                </c:pt>
                <c:pt idx="345">
                  <c:v>34</c:v>
                </c:pt>
                <c:pt idx="346">
                  <c:v>33</c:v>
                </c:pt>
                <c:pt idx="347">
                  <c:v>46</c:v>
                </c:pt>
                <c:pt idx="348">
                  <c:v>36</c:v>
                </c:pt>
                <c:pt idx="349">
                  <c:v>19</c:v>
                </c:pt>
                <c:pt idx="350">
                  <c:v>57</c:v>
                </c:pt>
                <c:pt idx="351">
                  <c:v>50</c:v>
                </c:pt>
                <c:pt idx="352">
                  <c:v>30</c:v>
                </c:pt>
                <c:pt idx="353">
                  <c:v>33</c:v>
                </c:pt>
                <c:pt idx="354">
                  <c:v>18</c:v>
                </c:pt>
                <c:pt idx="355">
                  <c:v>46</c:v>
                </c:pt>
                <c:pt idx="356">
                  <c:v>46</c:v>
                </c:pt>
                <c:pt idx="357">
                  <c:v>47</c:v>
                </c:pt>
                <c:pt idx="358">
                  <c:v>23</c:v>
                </c:pt>
                <c:pt idx="359">
                  <c:v>18</c:v>
                </c:pt>
                <c:pt idx="360">
                  <c:v>48</c:v>
                </c:pt>
                <c:pt idx="361">
                  <c:v>35</c:v>
                </c:pt>
                <c:pt idx="362">
                  <c:v>19</c:v>
                </c:pt>
                <c:pt idx="363">
                  <c:v>21</c:v>
                </c:pt>
                <c:pt idx="364">
                  <c:v>21</c:v>
                </c:pt>
                <c:pt idx="365">
                  <c:v>49</c:v>
                </c:pt>
                <c:pt idx="366">
                  <c:v>56</c:v>
                </c:pt>
                <c:pt idx="367">
                  <c:v>42</c:v>
                </c:pt>
                <c:pt idx="368">
                  <c:v>44</c:v>
                </c:pt>
                <c:pt idx="369">
                  <c:v>18</c:v>
                </c:pt>
                <c:pt idx="370">
                  <c:v>61</c:v>
                </c:pt>
                <c:pt idx="371">
                  <c:v>57</c:v>
                </c:pt>
                <c:pt idx="372">
                  <c:v>42</c:v>
                </c:pt>
                <c:pt idx="373">
                  <c:v>26</c:v>
                </c:pt>
                <c:pt idx="374">
                  <c:v>20</c:v>
                </c:pt>
                <c:pt idx="375">
                  <c:v>23</c:v>
                </c:pt>
                <c:pt idx="376">
                  <c:v>39</c:v>
                </c:pt>
                <c:pt idx="377">
                  <c:v>24</c:v>
                </c:pt>
                <c:pt idx="378">
                  <c:v>64</c:v>
                </c:pt>
                <c:pt idx="379">
                  <c:v>62</c:v>
                </c:pt>
                <c:pt idx="380">
                  <c:v>27</c:v>
                </c:pt>
                <c:pt idx="381">
                  <c:v>55</c:v>
                </c:pt>
                <c:pt idx="382">
                  <c:v>55</c:v>
                </c:pt>
                <c:pt idx="383">
                  <c:v>35</c:v>
                </c:pt>
                <c:pt idx="384">
                  <c:v>44</c:v>
                </c:pt>
                <c:pt idx="385">
                  <c:v>19</c:v>
                </c:pt>
                <c:pt idx="386">
                  <c:v>58</c:v>
                </c:pt>
                <c:pt idx="387">
                  <c:v>50</c:v>
                </c:pt>
                <c:pt idx="388">
                  <c:v>26</c:v>
                </c:pt>
                <c:pt idx="389">
                  <c:v>24</c:v>
                </c:pt>
                <c:pt idx="390">
                  <c:v>48</c:v>
                </c:pt>
                <c:pt idx="391">
                  <c:v>19</c:v>
                </c:pt>
                <c:pt idx="392">
                  <c:v>48</c:v>
                </c:pt>
                <c:pt idx="393">
                  <c:v>49</c:v>
                </c:pt>
                <c:pt idx="394">
                  <c:v>46</c:v>
                </c:pt>
                <c:pt idx="395">
                  <c:v>46</c:v>
                </c:pt>
                <c:pt idx="396">
                  <c:v>43</c:v>
                </c:pt>
                <c:pt idx="397">
                  <c:v>21</c:v>
                </c:pt>
                <c:pt idx="398">
                  <c:v>64</c:v>
                </c:pt>
                <c:pt idx="399">
                  <c:v>18</c:v>
                </c:pt>
                <c:pt idx="400">
                  <c:v>51</c:v>
                </c:pt>
                <c:pt idx="401">
                  <c:v>47</c:v>
                </c:pt>
                <c:pt idx="402">
                  <c:v>64</c:v>
                </c:pt>
                <c:pt idx="403">
                  <c:v>49</c:v>
                </c:pt>
                <c:pt idx="404">
                  <c:v>31</c:v>
                </c:pt>
                <c:pt idx="405">
                  <c:v>52</c:v>
                </c:pt>
                <c:pt idx="406">
                  <c:v>33</c:v>
                </c:pt>
                <c:pt idx="407">
                  <c:v>47</c:v>
                </c:pt>
                <c:pt idx="408">
                  <c:v>38</c:v>
                </c:pt>
                <c:pt idx="409">
                  <c:v>32</c:v>
                </c:pt>
                <c:pt idx="410">
                  <c:v>19</c:v>
                </c:pt>
                <c:pt idx="411">
                  <c:v>44</c:v>
                </c:pt>
                <c:pt idx="412">
                  <c:v>26</c:v>
                </c:pt>
                <c:pt idx="413">
                  <c:v>25</c:v>
                </c:pt>
                <c:pt idx="414">
                  <c:v>19</c:v>
                </c:pt>
                <c:pt idx="415">
                  <c:v>43</c:v>
                </c:pt>
                <c:pt idx="416">
                  <c:v>52</c:v>
                </c:pt>
                <c:pt idx="417">
                  <c:v>36</c:v>
                </c:pt>
                <c:pt idx="418">
                  <c:v>64</c:v>
                </c:pt>
                <c:pt idx="419">
                  <c:v>63</c:v>
                </c:pt>
                <c:pt idx="420">
                  <c:v>64</c:v>
                </c:pt>
                <c:pt idx="421">
                  <c:v>61</c:v>
                </c:pt>
                <c:pt idx="422">
                  <c:v>40</c:v>
                </c:pt>
                <c:pt idx="423">
                  <c:v>25</c:v>
                </c:pt>
                <c:pt idx="424">
                  <c:v>48</c:v>
                </c:pt>
                <c:pt idx="425">
                  <c:v>45</c:v>
                </c:pt>
                <c:pt idx="426">
                  <c:v>38</c:v>
                </c:pt>
                <c:pt idx="427">
                  <c:v>18</c:v>
                </c:pt>
                <c:pt idx="428">
                  <c:v>21</c:v>
                </c:pt>
                <c:pt idx="429">
                  <c:v>27</c:v>
                </c:pt>
                <c:pt idx="430">
                  <c:v>19</c:v>
                </c:pt>
                <c:pt idx="431">
                  <c:v>29</c:v>
                </c:pt>
                <c:pt idx="432">
                  <c:v>42</c:v>
                </c:pt>
                <c:pt idx="433">
                  <c:v>60</c:v>
                </c:pt>
                <c:pt idx="434">
                  <c:v>31</c:v>
                </c:pt>
                <c:pt idx="435">
                  <c:v>60</c:v>
                </c:pt>
                <c:pt idx="436">
                  <c:v>22</c:v>
                </c:pt>
                <c:pt idx="437">
                  <c:v>35</c:v>
                </c:pt>
                <c:pt idx="438">
                  <c:v>52</c:v>
                </c:pt>
                <c:pt idx="439">
                  <c:v>26</c:v>
                </c:pt>
                <c:pt idx="440">
                  <c:v>31</c:v>
                </c:pt>
                <c:pt idx="441">
                  <c:v>33</c:v>
                </c:pt>
                <c:pt idx="442">
                  <c:v>18</c:v>
                </c:pt>
                <c:pt idx="443">
                  <c:v>59</c:v>
                </c:pt>
                <c:pt idx="444">
                  <c:v>56</c:v>
                </c:pt>
                <c:pt idx="445">
                  <c:v>45</c:v>
                </c:pt>
                <c:pt idx="446">
                  <c:v>60</c:v>
                </c:pt>
                <c:pt idx="447">
                  <c:v>56</c:v>
                </c:pt>
                <c:pt idx="448">
                  <c:v>40</c:v>
                </c:pt>
                <c:pt idx="449">
                  <c:v>35</c:v>
                </c:pt>
                <c:pt idx="450">
                  <c:v>39</c:v>
                </c:pt>
                <c:pt idx="451">
                  <c:v>30</c:v>
                </c:pt>
                <c:pt idx="452">
                  <c:v>24</c:v>
                </c:pt>
                <c:pt idx="453">
                  <c:v>20</c:v>
                </c:pt>
                <c:pt idx="454">
                  <c:v>32</c:v>
                </c:pt>
                <c:pt idx="455">
                  <c:v>59</c:v>
                </c:pt>
                <c:pt idx="456">
                  <c:v>55</c:v>
                </c:pt>
                <c:pt idx="457">
                  <c:v>57</c:v>
                </c:pt>
                <c:pt idx="458">
                  <c:v>56</c:v>
                </c:pt>
                <c:pt idx="459">
                  <c:v>40</c:v>
                </c:pt>
                <c:pt idx="460">
                  <c:v>49</c:v>
                </c:pt>
                <c:pt idx="461">
                  <c:v>42</c:v>
                </c:pt>
                <c:pt idx="462">
                  <c:v>62</c:v>
                </c:pt>
                <c:pt idx="463">
                  <c:v>56</c:v>
                </c:pt>
                <c:pt idx="464">
                  <c:v>19</c:v>
                </c:pt>
                <c:pt idx="465">
                  <c:v>30</c:v>
                </c:pt>
                <c:pt idx="466">
                  <c:v>60</c:v>
                </c:pt>
                <c:pt idx="467">
                  <c:v>56</c:v>
                </c:pt>
                <c:pt idx="468">
                  <c:v>28</c:v>
                </c:pt>
                <c:pt idx="469">
                  <c:v>18</c:v>
                </c:pt>
                <c:pt idx="470">
                  <c:v>27</c:v>
                </c:pt>
                <c:pt idx="471">
                  <c:v>18</c:v>
                </c:pt>
                <c:pt idx="472">
                  <c:v>19</c:v>
                </c:pt>
                <c:pt idx="473">
                  <c:v>47</c:v>
                </c:pt>
                <c:pt idx="474">
                  <c:v>54</c:v>
                </c:pt>
                <c:pt idx="475">
                  <c:v>61</c:v>
                </c:pt>
                <c:pt idx="476">
                  <c:v>24</c:v>
                </c:pt>
                <c:pt idx="477">
                  <c:v>25</c:v>
                </c:pt>
                <c:pt idx="478">
                  <c:v>21</c:v>
                </c:pt>
                <c:pt idx="479">
                  <c:v>23</c:v>
                </c:pt>
                <c:pt idx="480">
                  <c:v>63</c:v>
                </c:pt>
                <c:pt idx="481">
                  <c:v>49</c:v>
                </c:pt>
                <c:pt idx="482">
                  <c:v>18</c:v>
                </c:pt>
                <c:pt idx="483">
                  <c:v>51</c:v>
                </c:pt>
                <c:pt idx="484">
                  <c:v>48</c:v>
                </c:pt>
                <c:pt idx="485">
                  <c:v>31</c:v>
                </c:pt>
                <c:pt idx="486">
                  <c:v>54</c:v>
                </c:pt>
                <c:pt idx="487">
                  <c:v>19</c:v>
                </c:pt>
                <c:pt idx="488">
                  <c:v>44</c:v>
                </c:pt>
                <c:pt idx="489">
                  <c:v>53</c:v>
                </c:pt>
                <c:pt idx="490">
                  <c:v>19</c:v>
                </c:pt>
                <c:pt idx="491">
                  <c:v>61</c:v>
                </c:pt>
                <c:pt idx="492">
                  <c:v>18</c:v>
                </c:pt>
                <c:pt idx="493">
                  <c:v>61</c:v>
                </c:pt>
                <c:pt idx="494">
                  <c:v>21</c:v>
                </c:pt>
                <c:pt idx="495">
                  <c:v>20</c:v>
                </c:pt>
                <c:pt idx="496">
                  <c:v>31</c:v>
                </c:pt>
                <c:pt idx="497">
                  <c:v>45</c:v>
                </c:pt>
                <c:pt idx="498">
                  <c:v>44</c:v>
                </c:pt>
                <c:pt idx="499">
                  <c:v>62</c:v>
                </c:pt>
                <c:pt idx="500">
                  <c:v>29</c:v>
                </c:pt>
                <c:pt idx="501">
                  <c:v>43</c:v>
                </c:pt>
                <c:pt idx="502">
                  <c:v>51</c:v>
                </c:pt>
                <c:pt idx="503">
                  <c:v>19</c:v>
                </c:pt>
                <c:pt idx="504">
                  <c:v>38</c:v>
                </c:pt>
                <c:pt idx="505">
                  <c:v>37</c:v>
                </c:pt>
                <c:pt idx="506">
                  <c:v>22</c:v>
                </c:pt>
                <c:pt idx="507">
                  <c:v>21</c:v>
                </c:pt>
                <c:pt idx="508">
                  <c:v>24</c:v>
                </c:pt>
                <c:pt idx="509">
                  <c:v>57</c:v>
                </c:pt>
                <c:pt idx="510">
                  <c:v>56</c:v>
                </c:pt>
                <c:pt idx="511">
                  <c:v>27</c:v>
                </c:pt>
                <c:pt idx="512">
                  <c:v>51</c:v>
                </c:pt>
                <c:pt idx="513">
                  <c:v>19</c:v>
                </c:pt>
                <c:pt idx="514">
                  <c:v>39</c:v>
                </c:pt>
                <c:pt idx="515">
                  <c:v>58</c:v>
                </c:pt>
                <c:pt idx="516">
                  <c:v>20</c:v>
                </c:pt>
                <c:pt idx="517">
                  <c:v>45</c:v>
                </c:pt>
                <c:pt idx="518">
                  <c:v>35</c:v>
                </c:pt>
                <c:pt idx="519">
                  <c:v>31</c:v>
                </c:pt>
                <c:pt idx="520">
                  <c:v>50</c:v>
                </c:pt>
                <c:pt idx="521">
                  <c:v>32</c:v>
                </c:pt>
                <c:pt idx="522">
                  <c:v>51</c:v>
                </c:pt>
                <c:pt idx="523">
                  <c:v>38</c:v>
                </c:pt>
                <c:pt idx="524">
                  <c:v>42</c:v>
                </c:pt>
                <c:pt idx="525">
                  <c:v>18</c:v>
                </c:pt>
                <c:pt idx="526">
                  <c:v>19</c:v>
                </c:pt>
                <c:pt idx="527">
                  <c:v>51</c:v>
                </c:pt>
                <c:pt idx="528">
                  <c:v>46</c:v>
                </c:pt>
                <c:pt idx="529">
                  <c:v>18</c:v>
                </c:pt>
                <c:pt idx="530">
                  <c:v>57</c:v>
                </c:pt>
                <c:pt idx="531">
                  <c:v>62</c:v>
                </c:pt>
                <c:pt idx="532">
                  <c:v>59</c:v>
                </c:pt>
                <c:pt idx="533">
                  <c:v>37</c:v>
                </c:pt>
                <c:pt idx="534">
                  <c:v>64</c:v>
                </c:pt>
                <c:pt idx="535">
                  <c:v>38</c:v>
                </c:pt>
                <c:pt idx="536">
                  <c:v>33</c:v>
                </c:pt>
                <c:pt idx="537">
                  <c:v>46</c:v>
                </c:pt>
                <c:pt idx="538">
                  <c:v>46</c:v>
                </c:pt>
                <c:pt idx="539">
                  <c:v>53</c:v>
                </c:pt>
                <c:pt idx="540">
                  <c:v>34</c:v>
                </c:pt>
                <c:pt idx="541">
                  <c:v>20</c:v>
                </c:pt>
                <c:pt idx="542">
                  <c:v>63</c:v>
                </c:pt>
                <c:pt idx="543">
                  <c:v>54</c:v>
                </c:pt>
                <c:pt idx="544">
                  <c:v>54</c:v>
                </c:pt>
                <c:pt idx="545">
                  <c:v>49</c:v>
                </c:pt>
                <c:pt idx="546">
                  <c:v>28</c:v>
                </c:pt>
                <c:pt idx="547">
                  <c:v>54</c:v>
                </c:pt>
                <c:pt idx="548">
                  <c:v>25</c:v>
                </c:pt>
                <c:pt idx="549">
                  <c:v>43</c:v>
                </c:pt>
                <c:pt idx="550">
                  <c:v>63</c:v>
                </c:pt>
                <c:pt idx="551">
                  <c:v>32</c:v>
                </c:pt>
                <c:pt idx="552">
                  <c:v>62</c:v>
                </c:pt>
                <c:pt idx="553">
                  <c:v>52</c:v>
                </c:pt>
                <c:pt idx="554">
                  <c:v>25</c:v>
                </c:pt>
                <c:pt idx="555">
                  <c:v>28</c:v>
                </c:pt>
                <c:pt idx="556">
                  <c:v>46</c:v>
                </c:pt>
                <c:pt idx="557">
                  <c:v>34</c:v>
                </c:pt>
                <c:pt idx="558">
                  <c:v>35</c:v>
                </c:pt>
                <c:pt idx="559">
                  <c:v>19</c:v>
                </c:pt>
                <c:pt idx="560">
                  <c:v>46</c:v>
                </c:pt>
                <c:pt idx="561">
                  <c:v>54</c:v>
                </c:pt>
                <c:pt idx="562">
                  <c:v>27</c:v>
                </c:pt>
                <c:pt idx="563">
                  <c:v>50</c:v>
                </c:pt>
                <c:pt idx="564">
                  <c:v>18</c:v>
                </c:pt>
                <c:pt idx="565">
                  <c:v>19</c:v>
                </c:pt>
                <c:pt idx="566">
                  <c:v>38</c:v>
                </c:pt>
                <c:pt idx="567">
                  <c:v>41</c:v>
                </c:pt>
                <c:pt idx="568">
                  <c:v>49</c:v>
                </c:pt>
                <c:pt idx="569">
                  <c:v>48</c:v>
                </c:pt>
                <c:pt idx="570">
                  <c:v>31</c:v>
                </c:pt>
                <c:pt idx="571">
                  <c:v>18</c:v>
                </c:pt>
                <c:pt idx="572">
                  <c:v>30</c:v>
                </c:pt>
                <c:pt idx="573">
                  <c:v>62</c:v>
                </c:pt>
                <c:pt idx="574">
                  <c:v>57</c:v>
                </c:pt>
                <c:pt idx="575">
                  <c:v>58</c:v>
                </c:pt>
                <c:pt idx="576">
                  <c:v>22</c:v>
                </c:pt>
                <c:pt idx="577">
                  <c:v>31</c:v>
                </c:pt>
                <c:pt idx="578">
                  <c:v>52</c:v>
                </c:pt>
                <c:pt idx="579">
                  <c:v>25</c:v>
                </c:pt>
                <c:pt idx="580">
                  <c:v>59</c:v>
                </c:pt>
                <c:pt idx="581">
                  <c:v>19</c:v>
                </c:pt>
                <c:pt idx="582">
                  <c:v>39</c:v>
                </c:pt>
                <c:pt idx="583">
                  <c:v>32</c:v>
                </c:pt>
                <c:pt idx="584">
                  <c:v>19</c:v>
                </c:pt>
                <c:pt idx="585">
                  <c:v>33</c:v>
                </c:pt>
                <c:pt idx="586">
                  <c:v>21</c:v>
                </c:pt>
                <c:pt idx="587">
                  <c:v>34</c:v>
                </c:pt>
                <c:pt idx="588">
                  <c:v>61</c:v>
                </c:pt>
                <c:pt idx="589">
                  <c:v>38</c:v>
                </c:pt>
                <c:pt idx="590">
                  <c:v>58</c:v>
                </c:pt>
                <c:pt idx="591">
                  <c:v>47</c:v>
                </c:pt>
                <c:pt idx="592">
                  <c:v>20</c:v>
                </c:pt>
                <c:pt idx="593">
                  <c:v>21</c:v>
                </c:pt>
                <c:pt idx="594">
                  <c:v>41</c:v>
                </c:pt>
                <c:pt idx="595">
                  <c:v>46</c:v>
                </c:pt>
                <c:pt idx="596">
                  <c:v>42</c:v>
                </c:pt>
                <c:pt idx="597">
                  <c:v>34</c:v>
                </c:pt>
                <c:pt idx="598">
                  <c:v>43</c:v>
                </c:pt>
                <c:pt idx="599">
                  <c:v>52</c:v>
                </c:pt>
                <c:pt idx="600">
                  <c:v>18</c:v>
                </c:pt>
                <c:pt idx="601">
                  <c:v>51</c:v>
                </c:pt>
                <c:pt idx="602">
                  <c:v>56</c:v>
                </c:pt>
                <c:pt idx="603">
                  <c:v>64</c:v>
                </c:pt>
                <c:pt idx="604">
                  <c:v>19</c:v>
                </c:pt>
                <c:pt idx="605">
                  <c:v>51</c:v>
                </c:pt>
                <c:pt idx="606">
                  <c:v>27</c:v>
                </c:pt>
                <c:pt idx="607">
                  <c:v>59</c:v>
                </c:pt>
                <c:pt idx="608">
                  <c:v>28</c:v>
                </c:pt>
                <c:pt idx="609">
                  <c:v>30</c:v>
                </c:pt>
                <c:pt idx="610">
                  <c:v>47</c:v>
                </c:pt>
                <c:pt idx="611">
                  <c:v>38</c:v>
                </c:pt>
                <c:pt idx="612">
                  <c:v>18</c:v>
                </c:pt>
                <c:pt idx="613">
                  <c:v>34</c:v>
                </c:pt>
                <c:pt idx="614">
                  <c:v>20</c:v>
                </c:pt>
                <c:pt idx="615">
                  <c:v>47</c:v>
                </c:pt>
                <c:pt idx="616">
                  <c:v>56</c:v>
                </c:pt>
                <c:pt idx="617">
                  <c:v>49</c:v>
                </c:pt>
                <c:pt idx="618">
                  <c:v>19</c:v>
                </c:pt>
                <c:pt idx="619">
                  <c:v>55</c:v>
                </c:pt>
                <c:pt idx="620">
                  <c:v>30</c:v>
                </c:pt>
                <c:pt idx="621">
                  <c:v>37</c:v>
                </c:pt>
                <c:pt idx="622">
                  <c:v>49</c:v>
                </c:pt>
                <c:pt idx="623">
                  <c:v>18</c:v>
                </c:pt>
                <c:pt idx="624">
                  <c:v>59</c:v>
                </c:pt>
                <c:pt idx="625">
                  <c:v>29</c:v>
                </c:pt>
                <c:pt idx="626">
                  <c:v>36</c:v>
                </c:pt>
                <c:pt idx="627">
                  <c:v>33</c:v>
                </c:pt>
                <c:pt idx="628">
                  <c:v>58</c:v>
                </c:pt>
                <c:pt idx="629">
                  <c:v>44</c:v>
                </c:pt>
                <c:pt idx="630">
                  <c:v>53</c:v>
                </c:pt>
                <c:pt idx="631">
                  <c:v>24</c:v>
                </c:pt>
                <c:pt idx="632">
                  <c:v>29</c:v>
                </c:pt>
                <c:pt idx="633">
                  <c:v>40</c:v>
                </c:pt>
                <c:pt idx="634">
                  <c:v>51</c:v>
                </c:pt>
                <c:pt idx="635">
                  <c:v>64</c:v>
                </c:pt>
                <c:pt idx="636">
                  <c:v>19</c:v>
                </c:pt>
                <c:pt idx="637">
                  <c:v>35</c:v>
                </c:pt>
                <c:pt idx="638">
                  <c:v>39</c:v>
                </c:pt>
                <c:pt idx="639">
                  <c:v>56</c:v>
                </c:pt>
                <c:pt idx="640">
                  <c:v>33</c:v>
                </c:pt>
                <c:pt idx="641">
                  <c:v>42</c:v>
                </c:pt>
                <c:pt idx="642">
                  <c:v>61</c:v>
                </c:pt>
                <c:pt idx="643">
                  <c:v>23</c:v>
                </c:pt>
                <c:pt idx="644">
                  <c:v>43</c:v>
                </c:pt>
                <c:pt idx="645">
                  <c:v>48</c:v>
                </c:pt>
                <c:pt idx="646">
                  <c:v>39</c:v>
                </c:pt>
                <c:pt idx="647">
                  <c:v>40</c:v>
                </c:pt>
                <c:pt idx="648">
                  <c:v>18</c:v>
                </c:pt>
                <c:pt idx="649">
                  <c:v>58</c:v>
                </c:pt>
                <c:pt idx="650">
                  <c:v>49</c:v>
                </c:pt>
                <c:pt idx="651">
                  <c:v>53</c:v>
                </c:pt>
                <c:pt idx="652">
                  <c:v>48</c:v>
                </c:pt>
                <c:pt idx="653">
                  <c:v>45</c:v>
                </c:pt>
                <c:pt idx="654">
                  <c:v>59</c:v>
                </c:pt>
                <c:pt idx="655">
                  <c:v>52</c:v>
                </c:pt>
                <c:pt idx="656">
                  <c:v>26</c:v>
                </c:pt>
                <c:pt idx="657">
                  <c:v>27</c:v>
                </c:pt>
                <c:pt idx="658">
                  <c:v>48</c:v>
                </c:pt>
                <c:pt idx="659">
                  <c:v>57</c:v>
                </c:pt>
                <c:pt idx="660">
                  <c:v>37</c:v>
                </c:pt>
                <c:pt idx="661">
                  <c:v>57</c:v>
                </c:pt>
                <c:pt idx="662">
                  <c:v>32</c:v>
                </c:pt>
                <c:pt idx="663">
                  <c:v>18</c:v>
                </c:pt>
                <c:pt idx="664">
                  <c:v>64</c:v>
                </c:pt>
                <c:pt idx="665">
                  <c:v>43</c:v>
                </c:pt>
                <c:pt idx="666">
                  <c:v>49</c:v>
                </c:pt>
                <c:pt idx="667">
                  <c:v>40</c:v>
                </c:pt>
                <c:pt idx="668">
                  <c:v>62</c:v>
                </c:pt>
                <c:pt idx="669">
                  <c:v>40</c:v>
                </c:pt>
                <c:pt idx="670">
                  <c:v>30</c:v>
                </c:pt>
                <c:pt idx="671">
                  <c:v>29</c:v>
                </c:pt>
                <c:pt idx="672">
                  <c:v>36</c:v>
                </c:pt>
                <c:pt idx="673">
                  <c:v>41</c:v>
                </c:pt>
                <c:pt idx="674">
                  <c:v>44</c:v>
                </c:pt>
                <c:pt idx="675">
                  <c:v>45</c:v>
                </c:pt>
                <c:pt idx="676">
                  <c:v>55</c:v>
                </c:pt>
                <c:pt idx="677">
                  <c:v>60</c:v>
                </c:pt>
                <c:pt idx="678">
                  <c:v>56</c:v>
                </c:pt>
                <c:pt idx="679">
                  <c:v>49</c:v>
                </c:pt>
                <c:pt idx="680">
                  <c:v>21</c:v>
                </c:pt>
                <c:pt idx="681">
                  <c:v>19</c:v>
                </c:pt>
                <c:pt idx="682">
                  <c:v>39</c:v>
                </c:pt>
                <c:pt idx="683">
                  <c:v>53</c:v>
                </c:pt>
                <c:pt idx="684">
                  <c:v>33</c:v>
                </c:pt>
                <c:pt idx="685">
                  <c:v>53</c:v>
                </c:pt>
                <c:pt idx="686">
                  <c:v>42</c:v>
                </c:pt>
                <c:pt idx="687">
                  <c:v>40</c:v>
                </c:pt>
                <c:pt idx="688">
                  <c:v>47</c:v>
                </c:pt>
                <c:pt idx="689">
                  <c:v>27</c:v>
                </c:pt>
                <c:pt idx="690">
                  <c:v>21</c:v>
                </c:pt>
                <c:pt idx="691">
                  <c:v>47</c:v>
                </c:pt>
                <c:pt idx="692">
                  <c:v>20</c:v>
                </c:pt>
                <c:pt idx="693">
                  <c:v>24</c:v>
                </c:pt>
                <c:pt idx="694">
                  <c:v>27</c:v>
                </c:pt>
                <c:pt idx="695">
                  <c:v>26</c:v>
                </c:pt>
                <c:pt idx="696">
                  <c:v>53</c:v>
                </c:pt>
                <c:pt idx="697">
                  <c:v>41</c:v>
                </c:pt>
                <c:pt idx="698">
                  <c:v>56</c:v>
                </c:pt>
                <c:pt idx="699">
                  <c:v>23</c:v>
                </c:pt>
                <c:pt idx="700">
                  <c:v>21</c:v>
                </c:pt>
                <c:pt idx="701">
                  <c:v>50</c:v>
                </c:pt>
                <c:pt idx="702">
                  <c:v>53</c:v>
                </c:pt>
                <c:pt idx="703">
                  <c:v>34</c:v>
                </c:pt>
                <c:pt idx="704">
                  <c:v>47</c:v>
                </c:pt>
                <c:pt idx="705">
                  <c:v>33</c:v>
                </c:pt>
                <c:pt idx="706">
                  <c:v>51</c:v>
                </c:pt>
                <c:pt idx="707">
                  <c:v>49</c:v>
                </c:pt>
                <c:pt idx="708">
                  <c:v>31</c:v>
                </c:pt>
                <c:pt idx="709">
                  <c:v>36</c:v>
                </c:pt>
                <c:pt idx="710">
                  <c:v>18</c:v>
                </c:pt>
                <c:pt idx="711">
                  <c:v>50</c:v>
                </c:pt>
                <c:pt idx="712">
                  <c:v>43</c:v>
                </c:pt>
                <c:pt idx="713">
                  <c:v>20</c:v>
                </c:pt>
                <c:pt idx="714">
                  <c:v>24</c:v>
                </c:pt>
                <c:pt idx="715">
                  <c:v>60</c:v>
                </c:pt>
                <c:pt idx="716">
                  <c:v>49</c:v>
                </c:pt>
                <c:pt idx="717">
                  <c:v>60</c:v>
                </c:pt>
                <c:pt idx="718">
                  <c:v>51</c:v>
                </c:pt>
                <c:pt idx="719">
                  <c:v>58</c:v>
                </c:pt>
                <c:pt idx="720">
                  <c:v>51</c:v>
                </c:pt>
                <c:pt idx="721">
                  <c:v>53</c:v>
                </c:pt>
                <c:pt idx="722">
                  <c:v>62</c:v>
                </c:pt>
                <c:pt idx="723">
                  <c:v>19</c:v>
                </c:pt>
                <c:pt idx="724">
                  <c:v>50</c:v>
                </c:pt>
                <c:pt idx="725">
                  <c:v>30</c:v>
                </c:pt>
                <c:pt idx="726">
                  <c:v>41</c:v>
                </c:pt>
                <c:pt idx="727">
                  <c:v>29</c:v>
                </c:pt>
                <c:pt idx="728">
                  <c:v>18</c:v>
                </c:pt>
                <c:pt idx="729">
                  <c:v>41</c:v>
                </c:pt>
                <c:pt idx="730">
                  <c:v>35</c:v>
                </c:pt>
                <c:pt idx="731">
                  <c:v>53</c:v>
                </c:pt>
                <c:pt idx="732">
                  <c:v>24</c:v>
                </c:pt>
                <c:pt idx="733">
                  <c:v>48</c:v>
                </c:pt>
                <c:pt idx="734">
                  <c:v>59</c:v>
                </c:pt>
                <c:pt idx="735">
                  <c:v>49</c:v>
                </c:pt>
                <c:pt idx="736">
                  <c:v>37</c:v>
                </c:pt>
                <c:pt idx="737">
                  <c:v>26</c:v>
                </c:pt>
                <c:pt idx="738">
                  <c:v>23</c:v>
                </c:pt>
                <c:pt idx="739">
                  <c:v>29</c:v>
                </c:pt>
                <c:pt idx="740">
                  <c:v>45</c:v>
                </c:pt>
                <c:pt idx="741">
                  <c:v>27</c:v>
                </c:pt>
                <c:pt idx="742">
                  <c:v>53</c:v>
                </c:pt>
                <c:pt idx="743">
                  <c:v>31</c:v>
                </c:pt>
                <c:pt idx="744">
                  <c:v>50</c:v>
                </c:pt>
                <c:pt idx="745">
                  <c:v>50</c:v>
                </c:pt>
                <c:pt idx="746">
                  <c:v>34</c:v>
                </c:pt>
                <c:pt idx="747">
                  <c:v>19</c:v>
                </c:pt>
                <c:pt idx="748">
                  <c:v>47</c:v>
                </c:pt>
                <c:pt idx="749">
                  <c:v>28</c:v>
                </c:pt>
                <c:pt idx="750">
                  <c:v>37</c:v>
                </c:pt>
                <c:pt idx="751">
                  <c:v>21</c:v>
                </c:pt>
                <c:pt idx="752">
                  <c:v>64</c:v>
                </c:pt>
                <c:pt idx="753">
                  <c:v>58</c:v>
                </c:pt>
                <c:pt idx="754">
                  <c:v>24</c:v>
                </c:pt>
                <c:pt idx="755">
                  <c:v>31</c:v>
                </c:pt>
                <c:pt idx="756">
                  <c:v>39</c:v>
                </c:pt>
                <c:pt idx="757">
                  <c:v>47</c:v>
                </c:pt>
                <c:pt idx="758">
                  <c:v>30</c:v>
                </c:pt>
                <c:pt idx="759">
                  <c:v>18</c:v>
                </c:pt>
                <c:pt idx="760">
                  <c:v>22</c:v>
                </c:pt>
                <c:pt idx="761">
                  <c:v>23</c:v>
                </c:pt>
                <c:pt idx="762">
                  <c:v>33</c:v>
                </c:pt>
                <c:pt idx="763">
                  <c:v>27</c:v>
                </c:pt>
                <c:pt idx="764">
                  <c:v>45</c:v>
                </c:pt>
                <c:pt idx="765">
                  <c:v>57</c:v>
                </c:pt>
                <c:pt idx="766">
                  <c:v>47</c:v>
                </c:pt>
                <c:pt idx="767">
                  <c:v>42</c:v>
                </c:pt>
                <c:pt idx="768">
                  <c:v>64</c:v>
                </c:pt>
                <c:pt idx="769">
                  <c:v>38</c:v>
                </c:pt>
                <c:pt idx="770">
                  <c:v>61</c:v>
                </c:pt>
                <c:pt idx="771">
                  <c:v>53</c:v>
                </c:pt>
                <c:pt idx="772">
                  <c:v>44</c:v>
                </c:pt>
                <c:pt idx="773">
                  <c:v>19</c:v>
                </c:pt>
                <c:pt idx="774">
                  <c:v>41</c:v>
                </c:pt>
                <c:pt idx="775">
                  <c:v>51</c:v>
                </c:pt>
                <c:pt idx="776">
                  <c:v>40</c:v>
                </c:pt>
                <c:pt idx="777">
                  <c:v>45</c:v>
                </c:pt>
                <c:pt idx="778">
                  <c:v>35</c:v>
                </c:pt>
                <c:pt idx="779">
                  <c:v>53</c:v>
                </c:pt>
                <c:pt idx="780">
                  <c:v>30</c:v>
                </c:pt>
                <c:pt idx="781">
                  <c:v>18</c:v>
                </c:pt>
                <c:pt idx="782">
                  <c:v>51</c:v>
                </c:pt>
                <c:pt idx="783">
                  <c:v>50</c:v>
                </c:pt>
                <c:pt idx="784">
                  <c:v>31</c:v>
                </c:pt>
                <c:pt idx="785">
                  <c:v>35</c:v>
                </c:pt>
                <c:pt idx="786">
                  <c:v>60</c:v>
                </c:pt>
                <c:pt idx="787">
                  <c:v>21</c:v>
                </c:pt>
                <c:pt idx="788">
                  <c:v>29</c:v>
                </c:pt>
                <c:pt idx="789">
                  <c:v>62</c:v>
                </c:pt>
                <c:pt idx="790">
                  <c:v>39</c:v>
                </c:pt>
                <c:pt idx="791">
                  <c:v>19</c:v>
                </c:pt>
                <c:pt idx="792">
                  <c:v>22</c:v>
                </c:pt>
                <c:pt idx="793">
                  <c:v>53</c:v>
                </c:pt>
                <c:pt idx="794">
                  <c:v>39</c:v>
                </c:pt>
                <c:pt idx="795">
                  <c:v>27</c:v>
                </c:pt>
                <c:pt idx="796">
                  <c:v>30</c:v>
                </c:pt>
                <c:pt idx="797">
                  <c:v>30</c:v>
                </c:pt>
                <c:pt idx="798">
                  <c:v>58</c:v>
                </c:pt>
                <c:pt idx="799">
                  <c:v>33</c:v>
                </c:pt>
                <c:pt idx="800">
                  <c:v>42</c:v>
                </c:pt>
                <c:pt idx="801">
                  <c:v>64</c:v>
                </c:pt>
                <c:pt idx="802">
                  <c:v>21</c:v>
                </c:pt>
                <c:pt idx="803">
                  <c:v>18</c:v>
                </c:pt>
                <c:pt idx="804">
                  <c:v>23</c:v>
                </c:pt>
                <c:pt idx="805">
                  <c:v>45</c:v>
                </c:pt>
                <c:pt idx="806">
                  <c:v>40</c:v>
                </c:pt>
                <c:pt idx="807">
                  <c:v>19</c:v>
                </c:pt>
                <c:pt idx="808">
                  <c:v>18</c:v>
                </c:pt>
                <c:pt idx="809">
                  <c:v>25</c:v>
                </c:pt>
                <c:pt idx="810">
                  <c:v>46</c:v>
                </c:pt>
                <c:pt idx="811">
                  <c:v>33</c:v>
                </c:pt>
                <c:pt idx="812">
                  <c:v>54</c:v>
                </c:pt>
                <c:pt idx="813">
                  <c:v>28</c:v>
                </c:pt>
                <c:pt idx="814">
                  <c:v>36</c:v>
                </c:pt>
                <c:pt idx="815">
                  <c:v>20</c:v>
                </c:pt>
                <c:pt idx="816">
                  <c:v>24</c:v>
                </c:pt>
                <c:pt idx="817">
                  <c:v>23</c:v>
                </c:pt>
                <c:pt idx="818">
                  <c:v>47</c:v>
                </c:pt>
                <c:pt idx="819">
                  <c:v>33</c:v>
                </c:pt>
                <c:pt idx="820">
                  <c:v>45</c:v>
                </c:pt>
                <c:pt idx="821">
                  <c:v>26</c:v>
                </c:pt>
                <c:pt idx="822">
                  <c:v>18</c:v>
                </c:pt>
                <c:pt idx="823">
                  <c:v>44</c:v>
                </c:pt>
                <c:pt idx="824">
                  <c:v>60</c:v>
                </c:pt>
                <c:pt idx="825">
                  <c:v>64</c:v>
                </c:pt>
                <c:pt idx="826">
                  <c:v>56</c:v>
                </c:pt>
                <c:pt idx="827">
                  <c:v>36</c:v>
                </c:pt>
                <c:pt idx="828">
                  <c:v>41</c:v>
                </c:pt>
                <c:pt idx="829">
                  <c:v>39</c:v>
                </c:pt>
                <c:pt idx="830">
                  <c:v>63</c:v>
                </c:pt>
                <c:pt idx="831">
                  <c:v>36</c:v>
                </c:pt>
                <c:pt idx="832">
                  <c:v>28</c:v>
                </c:pt>
                <c:pt idx="833">
                  <c:v>58</c:v>
                </c:pt>
                <c:pt idx="834">
                  <c:v>36</c:v>
                </c:pt>
                <c:pt idx="835">
                  <c:v>42</c:v>
                </c:pt>
                <c:pt idx="836">
                  <c:v>36</c:v>
                </c:pt>
                <c:pt idx="837">
                  <c:v>56</c:v>
                </c:pt>
                <c:pt idx="838">
                  <c:v>35</c:v>
                </c:pt>
                <c:pt idx="839">
                  <c:v>59</c:v>
                </c:pt>
                <c:pt idx="840">
                  <c:v>21</c:v>
                </c:pt>
                <c:pt idx="841">
                  <c:v>59</c:v>
                </c:pt>
                <c:pt idx="842">
                  <c:v>23</c:v>
                </c:pt>
                <c:pt idx="843">
                  <c:v>57</c:v>
                </c:pt>
                <c:pt idx="844">
                  <c:v>53</c:v>
                </c:pt>
                <c:pt idx="845">
                  <c:v>60</c:v>
                </c:pt>
                <c:pt idx="846">
                  <c:v>51</c:v>
                </c:pt>
                <c:pt idx="847">
                  <c:v>23</c:v>
                </c:pt>
                <c:pt idx="848">
                  <c:v>27</c:v>
                </c:pt>
                <c:pt idx="849">
                  <c:v>55</c:v>
                </c:pt>
                <c:pt idx="850">
                  <c:v>37</c:v>
                </c:pt>
                <c:pt idx="851">
                  <c:v>61</c:v>
                </c:pt>
                <c:pt idx="852">
                  <c:v>46</c:v>
                </c:pt>
                <c:pt idx="853">
                  <c:v>53</c:v>
                </c:pt>
                <c:pt idx="854">
                  <c:v>49</c:v>
                </c:pt>
                <c:pt idx="855">
                  <c:v>20</c:v>
                </c:pt>
                <c:pt idx="856">
                  <c:v>48</c:v>
                </c:pt>
                <c:pt idx="857">
                  <c:v>25</c:v>
                </c:pt>
                <c:pt idx="858">
                  <c:v>25</c:v>
                </c:pt>
                <c:pt idx="859">
                  <c:v>57</c:v>
                </c:pt>
                <c:pt idx="860">
                  <c:v>37</c:v>
                </c:pt>
                <c:pt idx="861">
                  <c:v>38</c:v>
                </c:pt>
                <c:pt idx="862">
                  <c:v>55</c:v>
                </c:pt>
                <c:pt idx="863">
                  <c:v>36</c:v>
                </c:pt>
                <c:pt idx="864">
                  <c:v>51</c:v>
                </c:pt>
                <c:pt idx="865">
                  <c:v>40</c:v>
                </c:pt>
                <c:pt idx="866">
                  <c:v>18</c:v>
                </c:pt>
                <c:pt idx="867">
                  <c:v>57</c:v>
                </c:pt>
                <c:pt idx="868">
                  <c:v>61</c:v>
                </c:pt>
                <c:pt idx="869">
                  <c:v>25</c:v>
                </c:pt>
                <c:pt idx="870">
                  <c:v>50</c:v>
                </c:pt>
                <c:pt idx="871">
                  <c:v>26</c:v>
                </c:pt>
                <c:pt idx="872">
                  <c:v>42</c:v>
                </c:pt>
                <c:pt idx="873">
                  <c:v>43</c:v>
                </c:pt>
                <c:pt idx="874">
                  <c:v>44</c:v>
                </c:pt>
                <c:pt idx="875">
                  <c:v>23</c:v>
                </c:pt>
                <c:pt idx="876">
                  <c:v>49</c:v>
                </c:pt>
                <c:pt idx="877">
                  <c:v>33</c:v>
                </c:pt>
                <c:pt idx="878">
                  <c:v>41</c:v>
                </c:pt>
                <c:pt idx="879">
                  <c:v>37</c:v>
                </c:pt>
                <c:pt idx="880">
                  <c:v>22</c:v>
                </c:pt>
                <c:pt idx="881">
                  <c:v>23</c:v>
                </c:pt>
                <c:pt idx="882">
                  <c:v>21</c:v>
                </c:pt>
                <c:pt idx="883">
                  <c:v>51</c:v>
                </c:pt>
                <c:pt idx="884">
                  <c:v>25</c:v>
                </c:pt>
                <c:pt idx="885">
                  <c:v>32</c:v>
                </c:pt>
                <c:pt idx="886">
                  <c:v>57</c:v>
                </c:pt>
                <c:pt idx="887">
                  <c:v>36</c:v>
                </c:pt>
                <c:pt idx="888">
                  <c:v>22</c:v>
                </c:pt>
                <c:pt idx="889">
                  <c:v>57</c:v>
                </c:pt>
                <c:pt idx="890">
                  <c:v>64</c:v>
                </c:pt>
                <c:pt idx="891">
                  <c:v>36</c:v>
                </c:pt>
                <c:pt idx="892">
                  <c:v>54</c:v>
                </c:pt>
                <c:pt idx="893">
                  <c:v>47</c:v>
                </c:pt>
                <c:pt idx="894">
                  <c:v>62</c:v>
                </c:pt>
                <c:pt idx="895">
                  <c:v>61</c:v>
                </c:pt>
                <c:pt idx="896">
                  <c:v>43</c:v>
                </c:pt>
                <c:pt idx="897">
                  <c:v>19</c:v>
                </c:pt>
                <c:pt idx="898">
                  <c:v>18</c:v>
                </c:pt>
                <c:pt idx="899">
                  <c:v>19</c:v>
                </c:pt>
                <c:pt idx="900">
                  <c:v>49</c:v>
                </c:pt>
                <c:pt idx="901">
                  <c:v>60</c:v>
                </c:pt>
                <c:pt idx="902">
                  <c:v>26</c:v>
                </c:pt>
                <c:pt idx="903">
                  <c:v>49</c:v>
                </c:pt>
                <c:pt idx="904">
                  <c:v>60</c:v>
                </c:pt>
                <c:pt idx="905">
                  <c:v>26</c:v>
                </c:pt>
                <c:pt idx="906">
                  <c:v>27</c:v>
                </c:pt>
                <c:pt idx="907">
                  <c:v>44</c:v>
                </c:pt>
                <c:pt idx="908">
                  <c:v>63</c:v>
                </c:pt>
                <c:pt idx="909">
                  <c:v>32</c:v>
                </c:pt>
                <c:pt idx="910">
                  <c:v>22</c:v>
                </c:pt>
                <c:pt idx="911">
                  <c:v>18</c:v>
                </c:pt>
                <c:pt idx="912">
                  <c:v>59</c:v>
                </c:pt>
                <c:pt idx="913">
                  <c:v>44</c:v>
                </c:pt>
                <c:pt idx="914">
                  <c:v>33</c:v>
                </c:pt>
                <c:pt idx="915">
                  <c:v>24</c:v>
                </c:pt>
                <c:pt idx="916">
                  <c:v>43</c:v>
                </c:pt>
                <c:pt idx="917">
                  <c:v>45</c:v>
                </c:pt>
                <c:pt idx="918">
                  <c:v>61</c:v>
                </c:pt>
                <c:pt idx="919">
                  <c:v>35</c:v>
                </c:pt>
                <c:pt idx="920">
                  <c:v>62</c:v>
                </c:pt>
                <c:pt idx="921">
                  <c:v>62</c:v>
                </c:pt>
                <c:pt idx="922">
                  <c:v>38</c:v>
                </c:pt>
                <c:pt idx="923">
                  <c:v>34</c:v>
                </c:pt>
                <c:pt idx="924">
                  <c:v>43</c:v>
                </c:pt>
                <c:pt idx="925">
                  <c:v>50</c:v>
                </c:pt>
                <c:pt idx="926">
                  <c:v>19</c:v>
                </c:pt>
                <c:pt idx="927">
                  <c:v>57</c:v>
                </c:pt>
                <c:pt idx="928">
                  <c:v>62</c:v>
                </c:pt>
                <c:pt idx="929">
                  <c:v>41</c:v>
                </c:pt>
                <c:pt idx="930">
                  <c:v>26</c:v>
                </c:pt>
                <c:pt idx="931">
                  <c:v>39</c:v>
                </c:pt>
                <c:pt idx="932">
                  <c:v>46</c:v>
                </c:pt>
                <c:pt idx="933">
                  <c:v>45</c:v>
                </c:pt>
                <c:pt idx="934">
                  <c:v>32</c:v>
                </c:pt>
                <c:pt idx="935">
                  <c:v>59</c:v>
                </c:pt>
                <c:pt idx="936">
                  <c:v>44</c:v>
                </c:pt>
                <c:pt idx="937">
                  <c:v>39</c:v>
                </c:pt>
                <c:pt idx="938">
                  <c:v>18</c:v>
                </c:pt>
                <c:pt idx="939">
                  <c:v>53</c:v>
                </c:pt>
                <c:pt idx="940">
                  <c:v>18</c:v>
                </c:pt>
                <c:pt idx="941">
                  <c:v>50</c:v>
                </c:pt>
                <c:pt idx="942">
                  <c:v>18</c:v>
                </c:pt>
                <c:pt idx="943">
                  <c:v>19</c:v>
                </c:pt>
                <c:pt idx="944">
                  <c:v>62</c:v>
                </c:pt>
                <c:pt idx="945">
                  <c:v>56</c:v>
                </c:pt>
                <c:pt idx="946">
                  <c:v>42</c:v>
                </c:pt>
                <c:pt idx="947">
                  <c:v>37</c:v>
                </c:pt>
                <c:pt idx="948">
                  <c:v>42</c:v>
                </c:pt>
                <c:pt idx="949">
                  <c:v>25</c:v>
                </c:pt>
                <c:pt idx="950">
                  <c:v>57</c:v>
                </c:pt>
                <c:pt idx="951">
                  <c:v>51</c:v>
                </c:pt>
                <c:pt idx="952">
                  <c:v>30</c:v>
                </c:pt>
                <c:pt idx="953">
                  <c:v>44</c:v>
                </c:pt>
                <c:pt idx="954">
                  <c:v>34</c:v>
                </c:pt>
                <c:pt idx="955">
                  <c:v>31</c:v>
                </c:pt>
                <c:pt idx="956">
                  <c:v>54</c:v>
                </c:pt>
                <c:pt idx="957">
                  <c:v>24</c:v>
                </c:pt>
                <c:pt idx="958">
                  <c:v>43</c:v>
                </c:pt>
                <c:pt idx="959">
                  <c:v>48</c:v>
                </c:pt>
                <c:pt idx="960">
                  <c:v>19</c:v>
                </c:pt>
                <c:pt idx="961">
                  <c:v>29</c:v>
                </c:pt>
                <c:pt idx="962">
                  <c:v>63</c:v>
                </c:pt>
                <c:pt idx="963">
                  <c:v>46</c:v>
                </c:pt>
                <c:pt idx="964">
                  <c:v>52</c:v>
                </c:pt>
                <c:pt idx="965">
                  <c:v>35</c:v>
                </c:pt>
                <c:pt idx="966">
                  <c:v>51</c:v>
                </c:pt>
                <c:pt idx="967">
                  <c:v>44</c:v>
                </c:pt>
                <c:pt idx="968">
                  <c:v>21</c:v>
                </c:pt>
                <c:pt idx="969">
                  <c:v>39</c:v>
                </c:pt>
                <c:pt idx="970">
                  <c:v>50</c:v>
                </c:pt>
                <c:pt idx="971">
                  <c:v>34</c:v>
                </c:pt>
                <c:pt idx="972">
                  <c:v>22</c:v>
                </c:pt>
                <c:pt idx="973">
                  <c:v>19</c:v>
                </c:pt>
                <c:pt idx="974">
                  <c:v>26</c:v>
                </c:pt>
                <c:pt idx="975">
                  <c:v>29</c:v>
                </c:pt>
                <c:pt idx="976">
                  <c:v>48</c:v>
                </c:pt>
                <c:pt idx="977">
                  <c:v>26</c:v>
                </c:pt>
                <c:pt idx="978">
                  <c:v>45</c:v>
                </c:pt>
                <c:pt idx="979">
                  <c:v>36</c:v>
                </c:pt>
                <c:pt idx="980">
                  <c:v>54</c:v>
                </c:pt>
                <c:pt idx="981">
                  <c:v>34</c:v>
                </c:pt>
                <c:pt idx="982">
                  <c:v>31</c:v>
                </c:pt>
                <c:pt idx="983">
                  <c:v>27</c:v>
                </c:pt>
                <c:pt idx="984">
                  <c:v>20</c:v>
                </c:pt>
                <c:pt idx="985">
                  <c:v>44</c:v>
                </c:pt>
                <c:pt idx="986">
                  <c:v>43</c:v>
                </c:pt>
                <c:pt idx="987">
                  <c:v>45</c:v>
                </c:pt>
                <c:pt idx="988">
                  <c:v>34</c:v>
                </c:pt>
                <c:pt idx="989">
                  <c:v>24</c:v>
                </c:pt>
                <c:pt idx="990">
                  <c:v>26</c:v>
                </c:pt>
                <c:pt idx="991">
                  <c:v>38</c:v>
                </c:pt>
                <c:pt idx="992">
                  <c:v>50</c:v>
                </c:pt>
                <c:pt idx="993">
                  <c:v>38</c:v>
                </c:pt>
                <c:pt idx="994">
                  <c:v>27</c:v>
                </c:pt>
                <c:pt idx="995">
                  <c:v>39</c:v>
                </c:pt>
                <c:pt idx="996">
                  <c:v>39</c:v>
                </c:pt>
                <c:pt idx="997">
                  <c:v>63</c:v>
                </c:pt>
                <c:pt idx="998">
                  <c:v>33</c:v>
                </c:pt>
                <c:pt idx="999">
                  <c:v>36</c:v>
                </c:pt>
                <c:pt idx="1000">
                  <c:v>30</c:v>
                </c:pt>
                <c:pt idx="1001">
                  <c:v>24</c:v>
                </c:pt>
                <c:pt idx="1002">
                  <c:v>24</c:v>
                </c:pt>
                <c:pt idx="1003">
                  <c:v>48</c:v>
                </c:pt>
                <c:pt idx="1004">
                  <c:v>47</c:v>
                </c:pt>
                <c:pt idx="1005">
                  <c:v>29</c:v>
                </c:pt>
                <c:pt idx="1006">
                  <c:v>28</c:v>
                </c:pt>
                <c:pt idx="1007">
                  <c:v>47</c:v>
                </c:pt>
                <c:pt idx="1008">
                  <c:v>25</c:v>
                </c:pt>
                <c:pt idx="1009">
                  <c:v>51</c:v>
                </c:pt>
                <c:pt idx="1010">
                  <c:v>48</c:v>
                </c:pt>
                <c:pt idx="1011">
                  <c:v>43</c:v>
                </c:pt>
                <c:pt idx="1012">
                  <c:v>61</c:v>
                </c:pt>
                <c:pt idx="1013">
                  <c:v>48</c:v>
                </c:pt>
                <c:pt idx="1014">
                  <c:v>38</c:v>
                </c:pt>
                <c:pt idx="1015">
                  <c:v>59</c:v>
                </c:pt>
                <c:pt idx="1016">
                  <c:v>19</c:v>
                </c:pt>
                <c:pt idx="1017">
                  <c:v>26</c:v>
                </c:pt>
                <c:pt idx="1018">
                  <c:v>54</c:v>
                </c:pt>
                <c:pt idx="1019">
                  <c:v>21</c:v>
                </c:pt>
                <c:pt idx="1020">
                  <c:v>51</c:v>
                </c:pt>
                <c:pt idx="1021">
                  <c:v>22</c:v>
                </c:pt>
                <c:pt idx="1022">
                  <c:v>47</c:v>
                </c:pt>
                <c:pt idx="1023">
                  <c:v>18</c:v>
                </c:pt>
                <c:pt idx="1024">
                  <c:v>47</c:v>
                </c:pt>
                <c:pt idx="1025">
                  <c:v>21</c:v>
                </c:pt>
                <c:pt idx="1026">
                  <c:v>19</c:v>
                </c:pt>
                <c:pt idx="1027">
                  <c:v>23</c:v>
                </c:pt>
                <c:pt idx="1028">
                  <c:v>54</c:v>
                </c:pt>
                <c:pt idx="1029">
                  <c:v>37</c:v>
                </c:pt>
                <c:pt idx="1030">
                  <c:v>46</c:v>
                </c:pt>
                <c:pt idx="1031">
                  <c:v>55</c:v>
                </c:pt>
                <c:pt idx="1032">
                  <c:v>30</c:v>
                </c:pt>
                <c:pt idx="1033">
                  <c:v>18</c:v>
                </c:pt>
                <c:pt idx="1034">
                  <c:v>61</c:v>
                </c:pt>
                <c:pt idx="1035">
                  <c:v>54</c:v>
                </c:pt>
                <c:pt idx="1036">
                  <c:v>22</c:v>
                </c:pt>
                <c:pt idx="1037">
                  <c:v>45</c:v>
                </c:pt>
                <c:pt idx="1038">
                  <c:v>22</c:v>
                </c:pt>
                <c:pt idx="1039">
                  <c:v>19</c:v>
                </c:pt>
                <c:pt idx="1040">
                  <c:v>35</c:v>
                </c:pt>
                <c:pt idx="1041">
                  <c:v>18</c:v>
                </c:pt>
                <c:pt idx="1042">
                  <c:v>20</c:v>
                </c:pt>
                <c:pt idx="1043">
                  <c:v>28</c:v>
                </c:pt>
                <c:pt idx="1044">
                  <c:v>55</c:v>
                </c:pt>
                <c:pt idx="1045">
                  <c:v>43</c:v>
                </c:pt>
                <c:pt idx="1046">
                  <c:v>43</c:v>
                </c:pt>
                <c:pt idx="1047">
                  <c:v>22</c:v>
                </c:pt>
                <c:pt idx="1048">
                  <c:v>25</c:v>
                </c:pt>
                <c:pt idx="1049">
                  <c:v>49</c:v>
                </c:pt>
                <c:pt idx="1050">
                  <c:v>44</c:v>
                </c:pt>
                <c:pt idx="1051">
                  <c:v>64</c:v>
                </c:pt>
                <c:pt idx="1052">
                  <c:v>49</c:v>
                </c:pt>
                <c:pt idx="1053">
                  <c:v>47</c:v>
                </c:pt>
                <c:pt idx="1054">
                  <c:v>27</c:v>
                </c:pt>
                <c:pt idx="1055">
                  <c:v>55</c:v>
                </c:pt>
                <c:pt idx="1056">
                  <c:v>48</c:v>
                </c:pt>
                <c:pt idx="1057">
                  <c:v>45</c:v>
                </c:pt>
                <c:pt idx="1058">
                  <c:v>24</c:v>
                </c:pt>
                <c:pt idx="1059">
                  <c:v>32</c:v>
                </c:pt>
                <c:pt idx="1060">
                  <c:v>24</c:v>
                </c:pt>
                <c:pt idx="1061">
                  <c:v>57</c:v>
                </c:pt>
                <c:pt idx="1062">
                  <c:v>59</c:v>
                </c:pt>
                <c:pt idx="1063">
                  <c:v>36</c:v>
                </c:pt>
                <c:pt idx="1064">
                  <c:v>29</c:v>
                </c:pt>
                <c:pt idx="1065">
                  <c:v>42</c:v>
                </c:pt>
                <c:pt idx="1066">
                  <c:v>48</c:v>
                </c:pt>
                <c:pt idx="1067">
                  <c:v>39</c:v>
                </c:pt>
                <c:pt idx="1068">
                  <c:v>63</c:v>
                </c:pt>
                <c:pt idx="1069">
                  <c:v>54</c:v>
                </c:pt>
                <c:pt idx="1070">
                  <c:v>37</c:v>
                </c:pt>
                <c:pt idx="1071">
                  <c:v>63</c:v>
                </c:pt>
                <c:pt idx="1072">
                  <c:v>21</c:v>
                </c:pt>
                <c:pt idx="1073">
                  <c:v>54</c:v>
                </c:pt>
                <c:pt idx="1074">
                  <c:v>60</c:v>
                </c:pt>
                <c:pt idx="1075">
                  <c:v>32</c:v>
                </c:pt>
                <c:pt idx="1076">
                  <c:v>47</c:v>
                </c:pt>
                <c:pt idx="1077">
                  <c:v>21</c:v>
                </c:pt>
                <c:pt idx="1078">
                  <c:v>28</c:v>
                </c:pt>
                <c:pt idx="1079">
                  <c:v>63</c:v>
                </c:pt>
                <c:pt idx="1080">
                  <c:v>18</c:v>
                </c:pt>
                <c:pt idx="1081">
                  <c:v>32</c:v>
                </c:pt>
                <c:pt idx="1082">
                  <c:v>38</c:v>
                </c:pt>
                <c:pt idx="1083">
                  <c:v>32</c:v>
                </c:pt>
                <c:pt idx="1084">
                  <c:v>62</c:v>
                </c:pt>
                <c:pt idx="1085">
                  <c:v>39</c:v>
                </c:pt>
                <c:pt idx="1086">
                  <c:v>55</c:v>
                </c:pt>
                <c:pt idx="1087">
                  <c:v>57</c:v>
                </c:pt>
                <c:pt idx="1088">
                  <c:v>52</c:v>
                </c:pt>
                <c:pt idx="1089">
                  <c:v>56</c:v>
                </c:pt>
                <c:pt idx="1090">
                  <c:v>47</c:v>
                </c:pt>
                <c:pt idx="1091">
                  <c:v>55</c:v>
                </c:pt>
                <c:pt idx="1092">
                  <c:v>23</c:v>
                </c:pt>
                <c:pt idx="1093">
                  <c:v>22</c:v>
                </c:pt>
                <c:pt idx="1094">
                  <c:v>50</c:v>
                </c:pt>
                <c:pt idx="1095">
                  <c:v>18</c:v>
                </c:pt>
                <c:pt idx="1096">
                  <c:v>51</c:v>
                </c:pt>
                <c:pt idx="1097">
                  <c:v>22</c:v>
                </c:pt>
                <c:pt idx="1098">
                  <c:v>52</c:v>
                </c:pt>
                <c:pt idx="1099">
                  <c:v>25</c:v>
                </c:pt>
                <c:pt idx="1100">
                  <c:v>33</c:v>
                </c:pt>
                <c:pt idx="1101">
                  <c:v>53</c:v>
                </c:pt>
                <c:pt idx="1102">
                  <c:v>29</c:v>
                </c:pt>
                <c:pt idx="1103">
                  <c:v>58</c:v>
                </c:pt>
                <c:pt idx="1104">
                  <c:v>37</c:v>
                </c:pt>
                <c:pt idx="1105">
                  <c:v>54</c:v>
                </c:pt>
                <c:pt idx="1106">
                  <c:v>49</c:v>
                </c:pt>
                <c:pt idx="1107">
                  <c:v>50</c:v>
                </c:pt>
                <c:pt idx="1108">
                  <c:v>26</c:v>
                </c:pt>
                <c:pt idx="1109">
                  <c:v>45</c:v>
                </c:pt>
                <c:pt idx="1110">
                  <c:v>54</c:v>
                </c:pt>
                <c:pt idx="1111">
                  <c:v>38</c:v>
                </c:pt>
                <c:pt idx="1112">
                  <c:v>48</c:v>
                </c:pt>
                <c:pt idx="1113">
                  <c:v>28</c:v>
                </c:pt>
                <c:pt idx="1114">
                  <c:v>23</c:v>
                </c:pt>
                <c:pt idx="1115">
                  <c:v>55</c:v>
                </c:pt>
                <c:pt idx="1116">
                  <c:v>41</c:v>
                </c:pt>
                <c:pt idx="1117">
                  <c:v>25</c:v>
                </c:pt>
                <c:pt idx="1118">
                  <c:v>33</c:v>
                </c:pt>
                <c:pt idx="1119">
                  <c:v>30</c:v>
                </c:pt>
                <c:pt idx="1120">
                  <c:v>23</c:v>
                </c:pt>
                <c:pt idx="1121">
                  <c:v>46</c:v>
                </c:pt>
                <c:pt idx="1122">
                  <c:v>53</c:v>
                </c:pt>
                <c:pt idx="1123">
                  <c:v>27</c:v>
                </c:pt>
                <c:pt idx="1124">
                  <c:v>23</c:v>
                </c:pt>
                <c:pt idx="1125">
                  <c:v>63</c:v>
                </c:pt>
                <c:pt idx="1126">
                  <c:v>55</c:v>
                </c:pt>
                <c:pt idx="1127">
                  <c:v>35</c:v>
                </c:pt>
                <c:pt idx="1128">
                  <c:v>34</c:v>
                </c:pt>
                <c:pt idx="1129">
                  <c:v>19</c:v>
                </c:pt>
                <c:pt idx="1130">
                  <c:v>39</c:v>
                </c:pt>
                <c:pt idx="1131">
                  <c:v>27</c:v>
                </c:pt>
                <c:pt idx="1132">
                  <c:v>57</c:v>
                </c:pt>
                <c:pt idx="1133">
                  <c:v>52</c:v>
                </c:pt>
                <c:pt idx="1134">
                  <c:v>28</c:v>
                </c:pt>
                <c:pt idx="1135">
                  <c:v>50</c:v>
                </c:pt>
                <c:pt idx="1136">
                  <c:v>44</c:v>
                </c:pt>
                <c:pt idx="1137">
                  <c:v>26</c:v>
                </c:pt>
                <c:pt idx="1138">
                  <c:v>33</c:v>
                </c:pt>
                <c:pt idx="1139">
                  <c:v>19</c:v>
                </c:pt>
                <c:pt idx="1140">
                  <c:v>50</c:v>
                </c:pt>
                <c:pt idx="1141">
                  <c:v>41</c:v>
                </c:pt>
                <c:pt idx="1142">
                  <c:v>52</c:v>
                </c:pt>
                <c:pt idx="1143">
                  <c:v>39</c:v>
                </c:pt>
                <c:pt idx="1144">
                  <c:v>50</c:v>
                </c:pt>
                <c:pt idx="1145">
                  <c:v>52</c:v>
                </c:pt>
                <c:pt idx="1146">
                  <c:v>60</c:v>
                </c:pt>
                <c:pt idx="1147">
                  <c:v>20</c:v>
                </c:pt>
                <c:pt idx="1148">
                  <c:v>55</c:v>
                </c:pt>
                <c:pt idx="1149">
                  <c:v>42</c:v>
                </c:pt>
                <c:pt idx="1150">
                  <c:v>18</c:v>
                </c:pt>
                <c:pt idx="1151">
                  <c:v>58</c:v>
                </c:pt>
                <c:pt idx="1152">
                  <c:v>43</c:v>
                </c:pt>
                <c:pt idx="1153">
                  <c:v>35</c:v>
                </c:pt>
                <c:pt idx="1154">
                  <c:v>48</c:v>
                </c:pt>
                <c:pt idx="1155">
                  <c:v>36</c:v>
                </c:pt>
                <c:pt idx="1156">
                  <c:v>19</c:v>
                </c:pt>
                <c:pt idx="1157">
                  <c:v>23</c:v>
                </c:pt>
                <c:pt idx="1158">
                  <c:v>20</c:v>
                </c:pt>
                <c:pt idx="1159">
                  <c:v>32</c:v>
                </c:pt>
                <c:pt idx="1160">
                  <c:v>43</c:v>
                </c:pt>
                <c:pt idx="1161">
                  <c:v>34</c:v>
                </c:pt>
                <c:pt idx="1162">
                  <c:v>30</c:v>
                </c:pt>
                <c:pt idx="1163">
                  <c:v>18</c:v>
                </c:pt>
                <c:pt idx="1164">
                  <c:v>41</c:v>
                </c:pt>
                <c:pt idx="1165">
                  <c:v>35</c:v>
                </c:pt>
                <c:pt idx="1166">
                  <c:v>57</c:v>
                </c:pt>
                <c:pt idx="1167">
                  <c:v>29</c:v>
                </c:pt>
                <c:pt idx="1168">
                  <c:v>32</c:v>
                </c:pt>
                <c:pt idx="1169">
                  <c:v>37</c:v>
                </c:pt>
                <c:pt idx="1170">
                  <c:v>18</c:v>
                </c:pt>
                <c:pt idx="1171">
                  <c:v>43</c:v>
                </c:pt>
                <c:pt idx="1172">
                  <c:v>56</c:v>
                </c:pt>
                <c:pt idx="1173">
                  <c:v>38</c:v>
                </c:pt>
                <c:pt idx="1174">
                  <c:v>29</c:v>
                </c:pt>
                <c:pt idx="1175">
                  <c:v>22</c:v>
                </c:pt>
                <c:pt idx="1176">
                  <c:v>52</c:v>
                </c:pt>
                <c:pt idx="1177">
                  <c:v>40</c:v>
                </c:pt>
                <c:pt idx="1178">
                  <c:v>23</c:v>
                </c:pt>
                <c:pt idx="1179">
                  <c:v>31</c:v>
                </c:pt>
                <c:pt idx="1180">
                  <c:v>42</c:v>
                </c:pt>
                <c:pt idx="1181">
                  <c:v>24</c:v>
                </c:pt>
                <c:pt idx="1182">
                  <c:v>25</c:v>
                </c:pt>
                <c:pt idx="1183">
                  <c:v>48</c:v>
                </c:pt>
                <c:pt idx="1184">
                  <c:v>23</c:v>
                </c:pt>
                <c:pt idx="1185">
                  <c:v>45</c:v>
                </c:pt>
                <c:pt idx="1186">
                  <c:v>20</c:v>
                </c:pt>
                <c:pt idx="1187">
                  <c:v>62</c:v>
                </c:pt>
                <c:pt idx="1188">
                  <c:v>43</c:v>
                </c:pt>
                <c:pt idx="1189">
                  <c:v>23</c:v>
                </c:pt>
                <c:pt idx="1190">
                  <c:v>31</c:v>
                </c:pt>
                <c:pt idx="1191">
                  <c:v>41</c:v>
                </c:pt>
                <c:pt idx="1192">
                  <c:v>58</c:v>
                </c:pt>
                <c:pt idx="1193">
                  <c:v>48</c:v>
                </c:pt>
                <c:pt idx="1194">
                  <c:v>31</c:v>
                </c:pt>
                <c:pt idx="1195">
                  <c:v>19</c:v>
                </c:pt>
                <c:pt idx="1196">
                  <c:v>19</c:v>
                </c:pt>
                <c:pt idx="1197">
                  <c:v>41</c:v>
                </c:pt>
                <c:pt idx="1198">
                  <c:v>40</c:v>
                </c:pt>
                <c:pt idx="1199">
                  <c:v>31</c:v>
                </c:pt>
                <c:pt idx="1200">
                  <c:v>37</c:v>
                </c:pt>
                <c:pt idx="1201">
                  <c:v>46</c:v>
                </c:pt>
                <c:pt idx="1202">
                  <c:v>22</c:v>
                </c:pt>
                <c:pt idx="1203">
                  <c:v>51</c:v>
                </c:pt>
                <c:pt idx="1204">
                  <c:v>18</c:v>
                </c:pt>
                <c:pt idx="1205">
                  <c:v>35</c:v>
                </c:pt>
                <c:pt idx="1206">
                  <c:v>59</c:v>
                </c:pt>
                <c:pt idx="1207">
                  <c:v>36</c:v>
                </c:pt>
                <c:pt idx="1208">
                  <c:v>37</c:v>
                </c:pt>
                <c:pt idx="1209">
                  <c:v>59</c:v>
                </c:pt>
                <c:pt idx="1210">
                  <c:v>36</c:v>
                </c:pt>
                <c:pt idx="1211">
                  <c:v>39</c:v>
                </c:pt>
                <c:pt idx="1212">
                  <c:v>18</c:v>
                </c:pt>
                <c:pt idx="1213">
                  <c:v>52</c:v>
                </c:pt>
                <c:pt idx="1214">
                  <c:v>27</c:v>
                </c:pt>
                <c:pt idx="1215">
                  <c:v>18</c:v>
                </c:pt>
                <c:pt idx="1216">
                  <c:v>40</c:v>
                </c:pt>
                <c:pt idx="1217">
                  <c:v>29</c:v>
                </c:pt>
                <c:pt idx="1218">
                  <c:v>46</c:v>
                </c:pt>
                <c:pt idx="1219">
                  <c:v>38</c:v>
                </c:pt>
                <c:pt idx="1220">
                  <c:v>30</c:v>
                </c:pt>
                <c:pt idx="1221">
                  <c:v>40</c:v>
                </c:pt>
                <c:pt idx="1222">
                  <c:v>50</c:v>
                </c:pt>
                <c:pt idx="1223">
                  <c:v>20</c:v>
                </c:pt>
                <c:pt idx="1224">
                  <c:v>41</c:v>
                </c:pt>
                <c:pt idx="1225">
                  <c:v>33</c:v>
                </c:pt>
                <c:pt idx="1226">
                  <c:v>38</c:v>
                </c:pt>
                <c:pt idx="1227">
                  <c:v>42</c:v>
                </c:pt>
                <c:pt idx="1228">
                  <c:v>56</c:v>
                </c:pt>
                <c:pt idx="1229">
                  <c:v>58</c:v>
                </c:pt>
                <c:pt idx="1230">
                  <c:v>52</c:v>
                </c:pt>
                <c:pt idx="1231">
                  <c:v>20</c:v>
                </c:pt>
                <c:pt idx="1232">
                  <c:v>54</c:v>
                </c:pt>
                <c:pt idx="1233">
                  <c:v>58</c:v>
                </c:pt>
                <c:pt idx="1234">
                  <c:v>45</c:v>
                </c:pt>
                <c:pt idx="1235">
                  <c:v>26</c:v>
                </c:pt>
                <c:pt idx="1236">
                  <c:v>63</c:v>
                </c:pt>
                <c:pt idx="1237">
                  <c:v>58</c:v>
                </c:pt>
                <c:pt idx="1238">
                  <c:v>37</c:v>
                </c:pt>
                <c:pt idx="1239">
                  <c:v>25</c:v>
                </c:pt>
                <c:pt idx="1240">
                  <c:v>52</c:v>
                </c:pt>
                <c:pt idx="1241">
                  <c:v>64</c:v>
                </c:pt>
                <c:pt idx="1242">
                  <c:v>22</c:v>
                </c:pt>
                <c:pt idx="1243">
                  <c:v>28</c:v>
                </c:pt>
                <c:pt idx="1244">
                  <c:v>18</c:v>
                </c:pt>
                <c:pt idx="1245">
                  <c:v>28</c:v>
                </c:pt>
                <c:pt idx="1246">
                  <c:v>45</c:v>
                </c:pt>
                <c:pt idx="1247">
                  <c:v>33</c:v>
                </c:pt>
                <c:pt idx="1248">
                  <c:v>18</c:v>
                </c:pt>
                <c:pt idx="1249">
                  <c:v>32</c:v>
                </c:pt>
                <c:pt idx="1250">
                  <c:v>24</c:v>
                </c:pt>
                <c:pt idx="1251">
                  <c:v>19</c:v>
                </c:pt>
                <c:pt idx="1252">
                  <c:v>20</c:v>
                </c:pt>
                <c:pt idx="1253">
                  <c:v>40</c:v>
                </c:pt>
                <c:pt idx="1254">
                  <c:v>34</c:v>
                </c:pt>
                <c:pt idx="1255">
                  <c:v>42</c:v>
                </c:pt>
                <c:pt idx="1256">
                  <c:v>51</c:v>
                </c:pt>
                <c:pt idx="1257">
                  <c:v>54</c:v>
                </c:pt>
                <c:pt idx="1258">
                  <c:v>55</c:v>
                </c:pt>
                <c:pt idx="1259">
                  <c:v>52</c:v>
                </c:pt>
                <c:pt idx="1260">
                  <c:v>32</c:v>
                </c:pt>
                <c:pt idx="1261">
                  <c:v>28</c:v>
                </c:pt>
                <c:pt idx="1262">
                  <c:v>41</c:v>
                </c:pt>
                <c:pt idx="1263">
                  <c:v>43</c:v>
                </c:pt>
                <c:pt idx="1264">
                  <c:v>49</c:v>
                </c:pt>
                <c:pt idx="1265">
                  <c:v>64</c:v>
                </c:pt>
                <c:pt idx="1266">
                  <c:v>55</c:v>
                </c:pt>
                <c:pt idx="1267">
                  <c:v>24</c:v>
                </c:pt>
                <c:pt idx="1268">
                  <c:v>20</c:v>
                </c:pt>
                <c:pt idx="1269">
                  <c:v>45</c:v>
                </c:pt>
                <c:pt idx="1270">
                  <c:v>26</c:v>
                </c:pt>
                <c:pt idx="1271">
                  <c:v>25</c:v>
                </c:pt>
                <c:pt idx="1272">
                  <c:v>43</c:v>
                </c:pt>
                <c:pt idx="1273">
                  <c:v>35</c:v>
                </c:pt>
                <c:pt idx="1274">
                  <c:v>26</c:v>
                </c:pt>
                <c:pt idx="1275">
                  <c:v>57</c:v>
                </c:pt>
                <c:pt idx="1276">
                  <c:v>22</c:v>
                </c:pt>
                <c:pt idx="1277">
                  <c:v>32</c:v>
                </c:pt>
                <c:pt idx="1278">
                  <c:v>39</c:v>
                </c:pt>
                <c:pt idx="1279">
                  <c:v>25</c:v>
                </c:pt>
                <c:pt idx="1280">
                  <c:v>48</c:v>
                </c:pt>
                <c:pt idx="1281">
                  <c:v>47</c:v>
                </c:pt>
                <c:pt idx="1282">
                  <c:v>18</c:v>
                </c:pt>
                <c:pt idx="1283">
                  <c:v>18</c:v>
                </c:pt>
                <c:pt idx="1284">
                  <c:v>61</c:v>
                </c:pt>
                <c:pt idx="1285">
                  <c:v>47</c:v>
                </c:pt>
                <c:pt idx="1286">
                  <c:v>28</c:v>
                </c:pt>
                <c:pt idx="1287">
                  <c:v>36</c:v>
                </c:pt>
                <c:pt idx="1288">
                  <c:v>20</c:v>
                </c:pt>
                <c:pt idx="1289">
                  <c:v>44</c:v>
                </c:pt>
                <c:pt idx="1290">
                  <c:v>38</c:v>
                </c:pt>
                <c:pt idx="1291">
                  <c:v>19</c:v>
                </c:pt>
                <c:pt idx="1292">
                  <c:v>21</c:v>
                </c:pt>
                <c:pt idx="1293">
                  <c:v>46</c:v>
                </c:pt>
                <c:pt idx="1294">
                  <c:v>58</c:v>
                </c:pt>
                <c:pt idx="1295">
                  <c:v>20</c:v>
                </c:pt>
                <c:pt idx="1296">
                  <c:v>18</c:v>
                </c:pt>
                <c:pt idx="1297">
                  <c:v>28</c:v>
                </c:pt>
                <c:pt idx="1298">
                  <c:v>33</c:v>
                </c:pt>
                <c:pt idx="1299">
                  <c:v>19</c:v>
                </c:pt>
                <c:pt idx="1300">
                  <c:v>45</c:v>
                </c:pt>
                <c:pt idx="1301">
                  <c:v>62</c:v>
                </c:pt>
                <c:pt idx="1302">
                  <c:v>25</c:v>
                </c:pt>
                <c:pt idx="1303">
                  <c:v>43</c:v>
                </c:pt>
                <c:pt idx="1304">
                  <c:v>42</c:v>
                </c:pt>
                <c:pt idx="1305">
                  <c:v>24</c:v>
                </c:pt>
                <c:pt idx="1306">
                  <c:v>29</c:v>
                </c:pt>
                <c:pt idx="1307">
                  <c:v>32</c:v>
                </c:pt>
                <c:pt idx="1308">
                  <c:v>25</c:v>
                </c:pt>
                <c:pt idx="1309">
                  <c:v>41</c:v>
                </c:pt>
                <c:pt idx="1310">
                  <c:v>42</c:v>
                </c:pt>
                <c:pt idx="1311">
                  <c:v>33</c:v>
                </c:pt>
                <c:pt idx="1312">
                  <c:v>34</c:v>
                </c:pt>
                <c:pt idx="1313">
                  <c:v>19</c:v>
                </c:pt>
                <c:pt idx="1314">
                  <c:v>30</c:v>
                </c:pt>
                <c:pt idx="1315">
                  <c:v>18</c:v>
                </c:pt>
                <c:pt idx="1316">
                  <c:v>19</c:v>
                </c:pt>
                <c:pt idx="1317">
                  <c:v>18</c:v>
                </c:pt>
                <c:pt idx="1318">
                  <c:v>35</c:v>
                </c:pt>
                <c:pt idx="1319">
                  <c:v>39</c:v>
                </c:pt>
                <c:pt idx="1320">
                  <c:v>31</c:v>
                </c:pt>
                <c:pt idx="1321">
                  <c:v>62</c:v>
                </c:pt>
                <c:pt idx="1322">
                  <c:v>62</c:v>
                </c:pt>
                <c:pt idx="1323">
                  <c:v>42</c:v>
                </c:pt>
                <c:pt idx="1324">
                  <c:v>31</c:v>
                </c:pt>
                <c:pt idx="1325">
                  <c:v>61</c:v>
                </c:pt>
                <c:pt idx="1326">
                  <c:v>42</c:v>
                </c:pt>
                <c:pt idx="1327">
                  <c:v>51</c:v>
                </c:pt>
                <c:pt idx="1328">
                  <c:v>23</c:v>
                </c:pt>
                <c:pt idx="1329">
                  <c:v>52</c:v>
                </c:pt>
                <c:pt idx="1330">
                  <c:v>57</c:v>
                </c:pt>
                <c:pt idx="1331">
                  <c:v>23</c:v>
                </c:pt>
                <c:pt idx="1332">
                  <c:v>52</c:v>
                </c:pt>
                <c:pt idx="1333">
                  <c:v>50</c:v>
                </c:pt>
                <c:pt idx="1334">
                  <c:v>18</c:v>
                </c:pt>
                <c:pt idx="1335">
                  <c:v>18</c:v>
                </c:pt>
                <c:pt idx="1336">
                  <c:v>21</c:v>
                </c:pt>
                <c:pt idx="1337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86-F542-86A0-B84621228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452751"/>
        <c:axId val="2046650367"/>
      </c:scatterChart>
      <c:valAx>
        <c:axId val="2076452751"/>
        <c:scaling>
          <c:orientation val="minMax"/>
        </c:scaling>
        <c:delete val="0"/>
        <c:axPos val="b"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46650367"/>
        <c:crosses val="autoZero"/>
        <c:crossBetween val="midCat"/>
      </c:valAx>
      <c:valAx>
        <c:axId val="2046650367"/>
        <c:scaling>
          <c:orientation val="minMax"/>
        </c:scaling>
        <c:delete val="0"/>
        <c:axPos val="l"/>
        <c:majorGridlines>
          <c:spPr>
            <a:ln>
              <a:solidFill>
                <a:srgbClr val="EEEEFF"/>
              </a:solidFill>
            </a:ln>
          </c:spPr>
        </c:majorGridlines>
        <c:numFmt formatCode="0.000" sourceLinked="0"/>
        <c:majorTickMark val="out"/>
        <c:minorTickMark val="none"/>
        <c:tickLblPos val="nextTo"/>
        <c:crossAx val="207645275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/>
            </a:pPr>
            <a:r>
              <a:rPr lang="en-GB" sz="1000" b="0"/>
              <a:t>age vs charges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3"/>
            <c:spPr>
              <a:ln/>
            </c:spPr>
          </c:marker>
          <c:xVal>
            <c:numRef>
              <c:f>insurance!$G$2:$G$1339</c:f>
              <c:numCache>
                <c:formatCode>General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xVal>
          <c:yVal>
            <c:numRef>
              <c:f>insurance!$A$2:$A$1339</c:f>
              <c:numCache>
                <c:formatCode>General</c:formatCode>
                <c:ptCount val="1338"/>
                <c:pt idx="0">
                  <c:v>19</c:v>
                </c:pt>
                <c:pt idx="1">
                  <c:v>18</c:v>
                </c:pt>
                <c:pt idx="2">
                  <c:v>28</c:v>
                </c:pt>
                <c:pt idx="3">
                  <c:v>33</c:v>
                </c:pt>
                <c:pt idx="4">
                  <c:v>32</c:v>
                </c:pt>
                <c:pt idx="5">
                  <c:v>31</c:v>
                </c:pt>
                <c:pt idx="6">
                  <c:v>46</c:v>
                </c:pt>
                <c:pt idx="7">
                  <c:v>37</c:v>
                </c:pt>
                <c:pt idx="8">
                  <c:v>37</c:v>
                </c:pt>
                <c:pt idx="9">
                  <c:v>60</c:v>
                </c:pt>
                <c:pt idx="10">
                  <c:v>25</c:v>
                </c:pt>
                <c:pt idx="11">
                  <c:v>62</c:v>
                </c:pt>
                <c:pt idx="12">
                  <c:v>23</c:v>
                </c:pt>
                <c:pt idx="13">
                  <c:v>56</c:v>
                </c:pt>
                <c:pt idx="14">
                  <c:v>27</c:v>
                </c:pt>
                <c:pt idx="15">
                  <c:v>19</c:v>
                </c:pt>
                <c:pt idx="16">
                  <c:v>52</c:v>
                </c:pt>
                <c:pt idx="17">
                  <c:v>23</c:v>
                </c:pt>
                <c:pt idx="18">
                  <c:v>56</c:v>
                </c:pt>
                <c:pt idx="19">
                  <c:v>30</c:v>
                </c:pt>
                <c:pt idx="20">
                  <c:v>60</c:v>
                </c:pt>
                <c:pt idx="21">
                  <c:v>30</c:v>
                </c:pt>
                <c:pt idx="22">
                  <c:v>18</c:v>
                </c:pt>
                <c:pt idx="23">
                  <c:v>34</c:v>
                </c:pt>
                <c:pt idx="24">
                  <c:v>37</c:v>
                </c:pt>
                <c:pt idx="25">
                  <c:v>59</c:v>
                </c:pt>
                <c:pt idx="26">
                  <c:v>63</c:v>
                </c:pt>
                <c:pt idx="27">
                  <c:v>55</c:v>
                </c:pt>
                <c:pt idx="28">
                  <c:v>23</c:v>
                </c:pt>
                <c:pt idx="29">
                  <c:v>31</c:v>
                </c:pt>
                <c:pt idx="30">
                  <c:v>22</c:v>
                </c:pt>
                <c:pt idx="31">
                  <c:v>18</c:v>
                </c:pt>
                <c:pt idx="32">
                  <c:v>19</c:v>
                </c:pt>
                <c:pt idx="33">
                  <c:v>63</c:v>
                </c:pt>
                <c:pt idx="34">
                  <c:v>28</c:v>
                </c:pt>
                <c:pt idx="35">
                  <c:v>19</c:v>
                </c:pt>
                <c:pt idx="36">
                  <c:v>62</c:v>
                </c:pt>
                <c:pt idx="37">
                  <c:v>26</c:v>
                </c:pt>
                <c:pt idx="38">
                  <c:v>35</c:v>
                </c:pt>
                <c:pt idx="39">
                  <c:v>60</c:v>
                </c:pt>
                <c:pt idx="40">
                  <c:v>24</c:v>
                </c:pt>
                <c:pt idx="41">
                  <c:v>31</c:v>
                </c:pt>
                <c:pt idx="42">
                  <c:v>41</c:v>
                </c:pt>
                <c:pt idx="43">
                  <c:v>37</c:v>
                </c:pt>
                <c:pt idx="44">
                  <c:v>38</c:v>
                </c:pt>
                <c:pt idx="45">
                  <c:v>55</c:v>
                </c:pt>
                <c:pt idx="46">
                  <c:v>18</c:v>
                </c:pt>
                <c:pt idx="47">
                  <c:v>28</c:v>
                </c:pt>
                <c:pt idx="48">
                  <c:v>60</c:v>
                </c:pt>
                <c:pt idx="49">
                  <c:v>36</c:v>
                </c:pt>
                <c:pt idx="50">
                  <c:v>18</c:v>
                </c:pt>
                <c:pt idx="51">
                  <c:v>21</c:v>
                </c:pt>
                <c:pt idx="52">
                  <c:v>48</c:v>
                </c:pt>
                <c:pt idx="53">
                  <c:v>36</c:v>
                </c:pt>
                <c:pt idx="54">
                  <c:v>40</c:v>
                </c:pt>
                <c:pt idx="55">
                  <c:v>58</c:v>
                </c:pt>
                <c:pt idx="56">
                  <c:v>58</c:v>
                </c:pt>
                <c:pt idx="57">
                  <c:v>18</c:v>
                </c:pt>
                <c:pt idx="58">
                  <c:v>53</c:v>
                </c:pt>
                <c:pt idx="59">
                  <c:v>34</c:v>
                </c:pt>
                <c:pt idx="60">
                  <c:v>43</c:v>
                </c:pt>
                <c:pt idx="61">
                  <c:v>25</c:v>
                </c:pt>
                <c:pt idx="62">
                  <c:v>64</c:v>
                </c:pt>
                <c:pt idx="63">
                  <c:v>28</c:v>
                </c:pt>
                <c:pt idx="64">
                  <c:v>20</c:v>
                </c:pt>
                <c:pt idx="65">
                  <c:v>19</c:v>
                </c:pt>
                <c:pt idx="66">
                  <c:v>61</c:v>
                </c:pt>
                <c:pt idx="67">
                  <c:v>40</c:v>
                </c:pt>
                <c:pt idx="68">
                  <c:v>40</c:v>
                </c:pt>
                <c:pt idx="69">
                  <c:v>28</c:v>
                </c:pt>
                <c:pt idx="70">
                  <c:v>27</c:v>
                </c:pt>
                <c:pt idx="71">
                  <c:v>31</c:v>
                </c:pt>
                <c:pt idx="72">
                  <c:v>53</c:v>
                </c:pt>
                <c:pt idx="73">
                  <c:v>58</c:v>
                </c:pt>
                <c:pt idx="74">
                  <c:v>44</c:v>
                </c:pt>
                <c:pt idx="75">
                  <c:v>57</c:v>
                </c:pt>
                <c:pt idx="76">
                  <c:v>29</c:v>
                </c:pt>
                <c:pt idx="77">
                  <c:v>21</c:v>
                </c:pt>
                <c:pt idx="78">
                  <c:v>22</c:v>
                </c:pt>
                <c:pt idx="79">
                  <c:v>41</c:v>
                </c:pt>
                <c:pt idx="80">
                  <c:v>31</c:v>
                </c:pt>
                <c:pt idx="81">
                  <c:v>45</c:v>
                </c:pt>
                <c:pt idx="82">
                  <c:v>22</c:v>
                </c:pt>
                <c:pt idx="83">
                  <c:v>48</c:v>
                </c:pt>
                <c:pt idx="84">
                  <c:v>37</c:v>
                </c:pt>
                <c:pt idx="85">
                  <c:v>45</c:v>
                </c:pt>
                <c:pt idx="86">
                  <c:v>57</c:v>
                </c:pt>
                <c:pt idx="87">
                  <c:v>56</c:v>
                </c:pt>
                <c:pt idx="88">
                  <c:v>46</c:v>
                </c:pt>
                <c:pt idx="89">
                  <c:v>55</c:v>
                </c:pt>
                <c:pt idx="90">
                  <c:v>21</c:v>
                </c:pt>
                <c:pt idx="91">
                  <c:v>53</c:v>
                </c:pt>
                <c:pt idx="92">
                  <c:v>59</c:v>
                </c:pt>
                <c:pt idx="93">
                  <c:v>35</c:v>
                </c:pt>
                <c:pt idx="94">
                  <c:v>64</c:v>
                </c:pt>
                <c:pt idx="95">
                  <c:v>28</c:v>
                </c:pt>
                <c:pt idx="96">
                  <c:v>54</c:v>
                </c:pt>
                <c:pt idx="97">
                  <c:v>55</c:v>
                </c:pt>
                <c:pt idx="98">
                  <c:v>56</c:v>
                </c:pt>
                <c:pt idx="99">
                  <c:v>38</c:v>
                </c:pt>
                <c:pt idx="100">
                  <c:v>41</c:v>
                </c:pt>
                <c:pt idx="101">
                  <c:v>30</c:v>
                </c:pt>
                <c:pt idx="102">
                  <c:v>18</c:v>
                </c:pt>
                <c:pt idx="103">
                  <c:v>61</c:v>
                </c:pt>
                <c:pt idx="104">
                  <c:v>34</c:v>
                </c:pt>
                <c:pt idx="105">
                  <c:v>20</c:v>
                </c:pt>
                <c:pt idx="106">
                  <c:v>19</c:v>
                </c:pt>
                <c:pt idx="107">
                  <c:v>26</c:v>
                </c:pt>
                <c:pt idx="108">
                  <c:v>29</c:v>
                </c:pt>
                <c:pt idx="109">
                  <c:v>63</c:v>
                </c:pt>
                <c:pt idx="110">
                  <c:v>54</c:v>
                </c:pt>
                <c:pt idx="111">
                  <c:v>55</c:v>
                </c:pt>
                <c:pt idx="112">
                  <c:v>37</c:v>
                </c:pt>
                <c:pt idx="113">
                  <c:v>21</c:v>
                </c:pt>
                <c:pt idx="114">
                  <c:v>52</c:v>
                </c:pt>
                <c:pt idx="115">
                  <c:v>60</c:v>
                </c:pt>
                <c:pt idx="116">
                  <c:v>58</c:v>
                </c:pt>
                <c:pt idx="117">
                  <c:v>29</c:v>
                </c:pt>
                <c:pt idx="118">
                  <c:v>49</c:v>
                </c:pt>
                <c:pt idx="119">
                  <c:v>37</c:v>
                </c:pt>
                <c:pt idx="120">
                  <c:v>44</c:v>
                </c:pt>
                <c:pt idx="121">
                  <c:v>18</c:v>
                </c:pt>
                <c:pt idx="122">
                  <c:v>20</c:v>
                </c:pt>
                <c:pt idx="123">
                  <c:v>44</c:v>
                </c:pt>
                <c:pt idx="124">
                  <c:v>47</c:v>
                </c:pt>
                <c:pt idx="125">
                  <c:v>26</c:v>
                </c:pt>
                <c:pt idx="126">
                  <c:v>19</c:v>
                </c:pt>
                <c:pt idx="127">
                  <c:v>52</c:v>
                </c:pt>
                <c:pt idx="128">
                  <c:v>32</c:v>
                </c:pt>
                <c:pt idx="129">
                  <c:v>38</c:v>
                </c:pt>
                <c:pt idx="130">
                  <c:v>59</c:v>
                </c:pt>
                <c:pt idx="131">
                  <c:v>61</c:v>
                </c:pt>
                <c:pt idx="132">
                  <c:v>53</c:v>
                </c:pt>
                <c:pt idx="133">
                  <c:v>19</c:v>
                </c:pt>
                <c:pt idx="134">
                  <c:v>20</c:v>
                </c:pt>
                <c:pt idx="135">
                  <c:v>22</c:v>
                </c:pt>
                <c:pt idx="136">
                  <c:v>19</c:v>
                </c:pt>
                <c:pt idx="137">
                  <c:v>22</c:v>
                </c:pt>
                <c:pt idx="138">
                  <c:v>54</c:v>
                </c:pt>
                <c:pt idx="139">
                  <c:v>22</c:v>
                </c:pt>
                <c:pt idx="140">
                  <c:v>34</c:v>
                </c:pt>
                <c:pt idx="141">
                  <c:v>26</c:v>
                </c:pt>
                <c:pt idx="142">
                  <c:v>34</c:v>
                </c:pt>
                <c:pt idx="143">
                  <c:v>29</c:v>
                </c:pt>
                <c:pt idx="144">
                  <c:v>30</c:v>
                </c:pt>
                <c:pt idx="145">
                  <c:v>29</c:v>
                </c:pt>
                <c:pt idx="146">
                  <c:v>46</c:v>
                </c:pt>
                <c:pt idx="147">
                  <c:v>51</c:v>
                </c:pt>
                <c:pt idx="148">
                  <c:v>53</c:v>
                </c:pt>
                <c:pt idx="149">
                  <c:v>19</c:v>
                </c:pt>
                <c:pt idx="150">
                  <c:v>35</c:v>
                </c:pt>
                <c:pt idx="151">
                  <c:v>48</c:v>
                </c:pt>
                <c:pt idx="152">
                  <c:v>32</c:v>
                </c:pt>
                <c:pt idx="153">
                  <c:v>42</c:v>
                </c:pt>
                <c:pt idx="154">
                  <c:v>40</c:v>
                </c:pt>
                <c:pt idx="155">
                  <c:v>44</c:v>
                </c:pt>
                <c:pt idx="156">
                  <c:v>48</c:v>
                </c:pt>
                <c:pt idx="157">
                  <c:v>18</c:v>
                </c:pt>
                <c:pt idx="158">
                  <c:v>30</c:v>
                </c:pt>
                <c:pt idx="159">
                  <c:v>50</c:v>
                </c:pt>
                <c:pt idx="160">
                  <c:v>42</c:v>
                </c:pt>
                <c:pt idx="161">
                  <c:v>18</c:v>
                </c:pt>
                <c:pt idx="162">
                  <c:v>54</c:v>
                </c:pt>
                <c:pt idx="163">
                  <c:v>32</c:v>
                </c:pt>
                <c:pt idx="164">
                  <c:v>37</c:v>
                </c:pt>
                <c:pt idx="165">
                  <c:v>47</c:v>
                </c:pt>
                <c:pt idx="166">
                  <c:v>20</c:v>
                </c:pt>
                <c:pt idx="167">
                  <c:v>32</c:v>
                </c:pt>
                <c:pt idx="168">
                  <c:v>19</c:v>
                </c:pt>
                <c:pt idx="169">
                  <c:v>27</c:v>
                </c:pt>
                <c:pt idx="170">
                  <c:v>63</c:v>
                </c:pt>
                <c:pt idx="171">
                  <c:v>49</c:v>
                </c:pt>
                <c:pt idx="172">
                  <c:v>18</c:v>
                </c:pt>
                <c:pt idx="173">
                  <c:v>35</c:v>
                </c:pt>
                <c:pt idx="174">
                  <c:v>24</c:v>
                </c:pt>
                <c:pt idx="175">
                  <c:v>63</c:v>
                </c:pt>
                <c:pt idx="176">
                  <c:v>38</c:v>
                </c:pt>
                <c:pt idx="177">
                  <c:v>54</c:v>
                </c:pt>
                <c:pt idx="178">
                  <c:v>46</c:v>
                </c:pt>
                <c:pt idx="179">
                  <c:v>41</c:v>
                </c:pt>
                <c:pt idx="180">
                  <c:v>58</c:v>
                </c:pt>
                <c:pt idx="181">
                  <c:v>18</c:v>
                </c:pt>
                <c:pt idx="182">
                  <c:v>22</c:v>
                </c:pt>
                <c:pt idx="183">
                  <c:v>44</c:v>
                </c:pt>
                <c:pt idx="184">
                  <c:v>44</c:v>
                </c:pt>
                <c:pt idx="185">
                  <c:v>36</c:v>
                </c:pt>
                <c:pt idx="186">
                  <c:v>26</c:v>
                </c:pt>
                <c:pt idx="187">
                  <c:v>30</c:v>
                </c:pt>
                <c:pt idx="188">
                  <c:v>41</c:v>
                </c:pt>
                <c:pt idx="189">
                  <c:v>29</c:v>
                </c:pt>
                <c:pt idx="190">
                  <c:v>61</c:v>
                </c:pt>
                <c:pt idx="191">
                  <c:v>36</c:v>
                </c:pt>
                <c:pt idx="192">
                  <c:v>25</c:v>
                </c:pt>
                <c:pt idx="193">
                  <c:v>56</c:v>
                </c:pt>
                <c:pt idx="194">
                  <c:v>18</c:v>
                </c:pt>
                <c:pt idx="195">
                  <c:v>19</c:v>
                </c:pt>
                <c:pt idx="196">
                  <c:v>39</c:v>
                </c:pt>
                <c:pt idx="197">
                  <c:v>45</c:v>
                </c:pt>
                <c:pt idx="198">
                  <c:v>51</c:v>
                </c:pt>
                <c:pt idx="199">
                  <c:v>64</c:v>
                </c:pt>
                <c:pt idx="200">
                  <c:v>19</c:v>
                </c:pt>
                <c:pt idx="201">
                  <c:v>48</c:v>
                </c:pt>
                <c:pt idx="202">
                  <c:v>60</c:v>
                </c:pt>
                <c:pt idx="203">
                  <c:v>27</c:v>
                </c:pt>
                <c:pt idx="204">
                  <c:v>46</c:v>
                </c:pt>
                <c:pt idx="205">
                  <c:v>28</c:v>
                </c:pt>
                <c:pt idx="206">
                  <c:v>59</c:v>
                </c:pt>
                <c:pt idx="207">
                  <c:v>35</c:v>
                </c:pt>
                <c:pt idx="208">
                  <c:v>63</c:v>
                </c:pt>
                <c:pt idx="209">
                  <c:v>40</c:v>
                </c:pt>
                <c:pt idx="210">
                  <c:v>20</c:v>
                </c:pt>
                <c:pt idx="211">
                  <c:v>40</c:v>
                </c:pt>
                <c:pt idx="212">
                  <c:v>24</c:v>
                </c:pt>
                <c:pt idx="213">
                  <c:v>34</c:v>
                </c:pt>
                <c:pt idx="214">
                  <c:v>45</c:v>
                </c:pt>
                <c:pt idx="215">
                  <c:v>41</c:v>
                </c:pt>
                <c:pt idx="216">
                  <c:v>53</c:v>
                </c:pt>
                <c:pt idx="217">
                  <c:v>27</c:v>
                </c:pt>
                <c:pt idx="218">
                  <c:v>26</c:v>
                </c:pt>
                <c:pt idx="219">
                  <c:v>24</c:v>
                </c:pt>
                <c:pt idx="220">
                  <c:v>34</c:v>
                </c:pt>
                <c:pt idx="221">
                  <c:v>53</c:v>
                </c:pt>
                <c:pt idx="222">
                  <c:v>32</c:v>
                </c:pt>
                <c:pt idx="223">
                  <c:v>19</c:v>
                </c:pt>
                <c:pt idx="224">
                  <c:v>42</c:v>
                </c:pt>
                <c:pt idx="225">
                  <c:v>55</c:v>
                </c:pt>
                <c:pt idx="226">
                  <c:v>28</c:v>
                </c:pt>
                <c:pt idx="227">
                  <c:v>58</c:v>
                </c:pt>
                <c:pt idx="228">
                  <c:v>41</c:v>
                </c:pt>
                <c:pt idx="229">
                  <c:v>47</c:v>
                </c:pt>
                <c:pt idx="230">
                  <c:v>42</c:v>
                </c:pt>
                <c:pt idx="231">
                  <c:v>59</c:v>
                </c:pt>
                <c:pt idx="232">
                  <c:v>19</c:v>
                </c:pt>
                <c:pt idx="233">
                  <c:v>59</c:v>
                </c:pt>
                <c:pt idx="234">
                  <c:v>39</c:v>
                </c:pt>
                <c:pt idx="235">
                  <c:v>40</c:v>
                </c:pt>
                <c:pt idx="236">
                  <c:v>18</c:v>
                </c:pt>
                <c:pt idx="237">
                  <c:v>31</c:v>
                </c:pt>
                <c:pt idx="238">
                  <c:v>19</c:v>
                </c:pt>
                <c:pt idx="239">
                  <c:v>44</c:v>
                </c:pt>
                <c:pt idx="240">
                  <c:v>23</c:v>
                </c:pt>
                <c:pt idx="241">
                  <c:v>33</c:v>
                </c:pt>
                <c:pt idx="242">
                  <c:v>55</c:v>
                </c:pt>
                <c:pt idx="243">
                  <c:v>40</c:v>
                </c:pt>
                <c:pt idx="244">
                  <c:v>63</c:v>
                </c:pt>
                <c:pt idx="245">
                  <c:v>54</c:v>
                </c:pt>
                <c:pt idx="246">
                  <c:v>60</c:v>
                </c:pt>
                <c:pt idx="247">
                  <c:v>24</c:v>
                </c:pt>
                <c:pt idx="248">
                  <c:v>19</c:v>
                </c:pt>
                <c:pt idx="249">
                  <c:v>29</c:v>
                </c:pt>
                <c:pt idx="250">
                  <c:v>18</c:v>
                </c:pt>
                <c:pt idx="251">
                  <c:v>63</c:v>
                </c:pt>
                <c:pt idx="252">
                  <c:v>54</c:v>
                </c:pt>
                <c:pt idx="253">
                  <c:v>27</c:v>
                </c:pt>
                <c:pt idx="254">
                  <c:v>50</c:v>
                </c:pt>
                <c:pt idx="255">
                  <c:v>55</c:v>
                </c:pt>
                <c:pt idx="256">
                  <c:v>56</c:v>
                </c:pt>
                <c:pt idx="257">
                  <c:v>38</c:v>
                </c:pt>
                <c:pt idx="258">
                  <c:v>51</c:v>
                </c:pt>
                <c:pt idx="259">
                  <c:v>19</c:v>
                </c:pt>
                <c:pt idx="260">
                  <c:v>58</c:v>
                </c:pt>
                <c:pt idx="261">
                  <c:v>20</c:v>
                </c:pt>
                <c:pt idx="262">
                  <c:v>52</c:v>
                </c:pt>
                <c:pt idx="263">
                  <c:v>19</c:v>
                </c:pt>
                <c:pt idx="264">
                  <c:v>53</c:v>
                </c:pt>
                <c:pt idx="265">
                  <c:v>46</c:v>
                </c:pt>
                <c:pt idx="266">
                  <c:v>40</c:v>
                </c:pt>
                <c:pt idx="267">
                  <c:v>59</c:v>
                </c:pt>
                <c:pt idx="268">
                  <c:v>45</c:v>
                </c:pt>
                <c:pt idx="269">
                  <c:v>49</c:v>
                </c:pt>
                <c:pt idx="270">
                  <c:v>18</c:v>
                </c:pt>
                <c:pt idx="271">
                  <c:v>50</c:v>
                </c:pt>
                <c:pt idx="272">
                  <c:v>41</c:v>
                </c:pt>
                <c:pt idx="273">
                  <c:v>50</c:v>
                </c:pt>
                <c:pt idx="274">
                  <c:v>25</c:v>
                </c:pt>
                <c:pt idx="275">
                  <c:v>47</c:v>
                </c:pt>
                <c:pt idx="276">
                  <c:v>19</c:v>
                </c:pt>
                <c:pt idx="277">
                  <c:v>22</c:v>
                </c:pt>
                <c:pt idx="278">
                  <c:v>59</c:v>
                </c:pt>
                <c:pt idx="279">
                  <c:v>51</c:v>
                </c:pt>
                <c:pt idx="280">
                  <c:v>40</c:v>
                </c:pt>
                <c:pt idx="281">
                  <c:v>54</c:v>
                </c:pt>
                <c:pt idx="282">
                  <c:v>30</c:v>
                </c:pt>
                <c:pt idx="283">
                  <c:v>55</c:v>
                </c:pt>
                <c:pt idx="284">
                  <c:v>52</c:v>
                </c:pt>
                <c:pt idx="285">
                  <c:v>46</c:v>
                </c:pt>
                <c:pt idx="286">
                  <c:v>46</c:v>
                </c:pt>
                <c:pt idx="287">
                  <c:v>63</c:v>
                </c:pt>
                <c:pt idx="288">
                  <c:v>59</c:v>
                </c:pt>
                <c:pt idx="289">
                  <c:v>52</c:v>
                </c:pt>
                <c:pt idx="290">
                  <c:v>28</c:v>
                </c:pt>
                <c:pt idx="291">
                  <c:v>29</c:v>
                </c:pt>
                <c:pt idx="292">
                  <c:v>25</c:v>
                </c:pt>
                <c:pt idx="293">
                  <c:v>22</c:v>
                </c:pt>
                <c:pt idx="294">
                  <c:v>25</c:v>
                </c:pt>
                <c:pt idx="295">
                  <c:v>18</c:v>
                </c:pt>
                <c:pt idx="296">
                  <c:v>19</c:v>
                </c:pt>
                <c:pt idx="297">
                  <c:v>47</c:v>
                </c:pt>
                <c:pt idx="298">
                  <c:v>31</c:v>
                </c:pt>
                <c:pt idx="299">
                  <c:v>48</c:v>
                </c:pt>
                <c:pt idx="300">
                  <c:v>36</c:v>
                </c:pt>
                <c:pt idx="301">
                  <c:v>53</c:v>
                </c:pt>
                <c:pt idx="302">
                  <c:v>56</c:v>
                </c:pt>
                <c:pt idx="303">
                  <c:v>28</c:v>
                </c:pt>
                <c:pt idx="304">
                  <c:v>57</c:v>
                </c:pt>
                <c:pt idx="305">
                  <c:v>29</c:v>
                </c:pt>
                <c:pt idx="306">
                  <c:v>28</c:v>
                </c:pt>
                <c:pt idx="307">
                  <c:v>30</c:v>
                </c:pt>
                <c:pt idx="308">
                  <c:v>58</c:v>
                </c:pt>
                <c:pt idx="309">
                  <c:v>41</c:v>
                </c:pt>
                <c:pt idx="310">
                  <c:v>50</c:v>
                </c:pt>
                <c:pt idx="311">
                  <c:v>19</c:v>
                </c:pt>
                <c:pt idx="312">
                  <c:v>43</c:v>
                </c:pt>
                <c:pt idx="313">
                  <c:v>49</c:v>
                </c:pt>
                <c:pt idx="314">
                  <c:v>27</c:v>
                </c:pt>
                <c:pt idx="315">
                  <c:v>52</c:v>
                </c:pt>
                <c:pt idx="316">
                  <c:v>50</c:v>
                </c:pt>
                <c:pt idx="317">
                  <c:v>54</c:v>
                </c:pt>
                <c:pt idx="318">
                  <c:v>44</c:v>
                </c:pt>
                <c:pt idx="319">
                  <c:v>32</c:v>
                </c:pt>
                <c:pt idx="320">
                  <c:v>34</c:v>
                </c:pt>
                <c:pt idx="321">
                  <c:v>26</c:v>
                </c:pt>
                <c:pt idx="322">
                  <c:v>34</c:v>
                </c:pt>
                <c:pt idx="323">
                  <c:v>57</c:v>
                </c:pt>
                <c:pt idx="324">
                  <c:v>29</c:v>
                </c:pt>
                <c:pt idx="325">
                  <c:v>40</c:v>
                </c:pt>
                <c:pt idx="326">
                  <c:v>27</c:v>
                </c:pt>
                <c:pt idx="327">
                  <c:v>45</c:v>
                </c:pt>
                <c:pt idx="328">
                  <c:v>64</c:v>
                </c:pt>
                <c:pt idx="329">
                  <c:v>52</c:v>
                </c:pt>
                <c:pt idx="330">
                  <c:v>61</c:v>
                </c:pt>
                <c:pt idx="331">
                  <c:v>52</c:v>
                </c:pt>
                <c:pt idx="332">
                  <c:v>61</c:v>
                </c:pt>
                <c:pt idx="333">
                  <c:v>56</c:v>
                </c:pt>
                <c:pt idx="334">
                  <c:v>43</c:v>
                </c:pt>
                <c:pt idx="335">
                  <c:v>64</c:v>
                </c:pt>
                <c:pt idx="336">
                  <c:v>60</c:v>
                </c:pt>
                <c:pt idx="337">
                  <c:v>62</c:v>
                </c:pt>
                <c:pt idx="338">
                  <c:v>50</c:v>
                </c:pt>
                <c:pt idx="339">
                  <c:v>46</c:v>
                </c:pt>
                <c:pt idx="340">
                  <c:v>24</c:v>
                </c:pt>
                <c:pt idx="341">
                  <c:v>62</c:v>
                </c:pt>
                <c:pt idx="342">
                  <c:v>60</c:v>
                </c:pt>
                <c:pt idx="343">
                  <c:v>63</c:v>
                </c:pt>
                <c:pt idx="344">
                  <c:v>49</c:v>
                </c:pt>
                <c:pt idx="345">
                  <c:v>34</c:v>
                </c:pt>
                <c:pt idx="346">
                  <c:v>33</c:v>
                </c:pt>
                <c:pt idx="347">
                  <c:v>46</c:v>
                </c:pt>
                <c:pt idx="348">
                  <c:v>36</c:v>
                </c:pt>
                <c:pt idx="349">
                  <c:v>19</c:v>
                </c:pt>
                <c:pt idx="350">
                  <c:v>57</c:v>
                </c:pt>
                <c:pt idx="351">
                  <c:v>50</c:v>
                </c:pt>
                <c:pt idx="352">
                  <c:v>30</c:v>
                </c:pt>
                <c:pt idx="353">
                  <c:v>33</c:v>
                </c:pt>
                <c:pt idx="354">
                  <c:v>18</c:v>
                </c:pt>
                <c:pt idx="355">
                  <c:v>46</c:v>
                </c:pt>
                <c:pt idx="356">
                  <c:v>46</c:v>
                </c:pt>
                <c:pt idx="357">
                  <c:v>47</c:v>
                </c:pt>
                <c:pt idx="358">
                  <c:v>23</c:v>
                </c:pt>
                <c:pt idx="359">
                  <c:v>18</c:v>
                </c:pt>
                <c:pt idx="360">
                  <c:v>48</c:v>
                </c:pt>
                <c:pt idx="361">
                  <c:v>35</c:v>
                </c:pt>
                <c:pt idx="362">
                  <c:v>19</c:v>
                </c:pt>
                <c:pt idx="363">
                  <c:v>21</c:v>
                </c:pt>
                <c:pt idx="364">
                  <c:v>21</c:v>
                </c:pt>
                <c:pt idx="365">
                  <c:v>49</c:v>
                </c:pt>
                <c:pt idx="366">
                  <c:v>56</c:v>
                </c:pt>
                <c:pt idx="367">
                  <c:v>42</c:v>
                </c:pt>
                <c:pt idx="368">
                  <c:v>44</c:v>
                </c:pt>
                <c:pt idx="369">
                  <c:v>18</c:v>
                </c:pt>
                <c:pt idx="370">
                  <c:v>61</c:v>
                </c:pt>
                <c:pt idx="371">
                  <c:v>57</c:v>
                </c:pt>
                <c:pt idx="372">
                  <c:v>42</c:v>
                </c:pt>
                <c:pt idx="373">
                  <c:v>26</c:v>
                </c:pt>
                <c:pt idx="374">
                  <c:v>20</c:v>
                </c:pt>
                <c:pt idx="375">
                  <c:v>23</c:v>
                </c:pt>
                <c:pt idx="376">
                  <c:v>39</c:v>
                </c:pt>
                <c:pt idx="377">
                  <c:v>24</c:v>
                </c:pt>
                <c:pt idx="378">
                  <c:v>64</c:v>
                </c:pt>
                <c:pt idx="379">
                  <c:v>62</c:v>
                </c:pt>
                <c:pt idx="380">
                  <c:v>27</c:v>
                </c:pt>
                <c:pt idx="381">
                  <c:v>55</c:v>
                </c:pt>
                <c:pt idx="382">
                  <c:v>55</c:v>
                </c:pt>
                <c:pt idx="383">
                  <c:v>35</c:v>
                </c:pt>
                <c:pt idx="384">
                  <c:v>44</c:v>
                </c:pt>
                <c:pt idx="385">
                  <c:v>19</c:v>
                </c:pt>
                <c:pt idx="386">
                  <c:v>58</c:v>
                </c:pt>
                <c:pt idx="387">
                  <c:v>50</c:v>
                </c:pt>
                <c:pt idx="388">
                  <c:v>26</c:v>
                </c:pt>
                <c:pt idx="389">
                  <c:v>24</c:v>
                </c:pt>
                <c:pt idx="390">
                  <c:v>48</c:v>
                </c:pt>
                <c:pt idx="391">
                  <c:v>19</c:v>
                </c:pt>
                <c:pt idx="392">
                  <c:v>48</c:v>
                </c:pt>
                <c:pt idx="393">
                  <c:v>49</c:v>
                </c:pt>
                <c:pt idx="394">
                  <c:v>46</c:v>
                </c:pt>
                <c:pt idx="395">
                  <c:v>46</c:v>
                </c:pt>
                <c:pt idx="396">
                  <c:v>43</c:v>
                </c:pt>
                <c:pt idx="397">
                  <c:v>21</c:v>
                </c:pt>
                <c:pt idx="398">
                  <c:v>64</c:v>
                </c:pt>
                <c:pt idx="399">
                  <c:v>18</c:v>
                </c:pt>
                <c:pt idx="400">
                  <c:v>51</c:v>
                </c:pt>
                <c:pt idx="401">
                  <c:v>47</c:v>
                </c:pt>
                <c:pt idx="402">
                  <c:v>64</c:v>
                </c:pt>
                <c:pt idx="403">
                  <c:v>49</c:v>
                </c:pt>
                <c:pt idx="404">
                  <c:v>31</c:v>
                </c:pt>
                <c:pt idx="405">
                  <c:v>52</c:v>
                </c:pt>
                <c:pt idx="406">
                  <c:v>33</c:v>
                </c:pt>
                <c:pt idx="407">
                  <c:v>47</c:v>
                </c:pt>
                <c:pt idx="408">
                  <c:v>38</c:v>
                </c:pt>
                <c:pt idx="409">
                  <c:v>32</c:v>
                </c:pt>
                <c:pt idx="410">
                  <c:v>19</c:v>
                </c:pt>
                <c:pt idx="411">
                  <c:v>44</c:v>
                </c:pt>
                <c:pt idx="412">
                  <c:v>26</c:v>
                </c:pt>
                <c:pt idx="413">
                  <c:v>25</c:v>
                </c:pt>
                <c:pt idx="414">
                  <c:v>19</c:v>
                </c:pt>
                <c:pt idx="415">
                  <c:v>43</c:v>
                </c:pt>
                <c:pt idx="416">
                  <c:v>52</c:v>
                </c:pt>
                <c:pt idx="417">
                  <c:v>36</c:v>
                </c:pt>
                <c:pt idx="418">
                  <c:v>64</c:v>
                </c:pt>
                <c:pt idx="419">
                  <c:v>63</c:v>
                </c:pt>
                <c:pt idx="420">
                  <c:v>64</c:v>
                </c:pt>
                <c:pt idx="421">
                  <c:v>61</c:v>
                </c:pt>
                <c:pt idx="422">
                  <c:v>40</c:v>
                </c:pt>
                <c:pt idx="423">
                  <c:v>25</c:v>
                </c:pt>
                <c:pt idx="424">
                  <c:v>48</c:v>
                </c:pt>
                <c:pt idx="425">
                  <c:v>45</c:v>
                </c:pt>
                <c:pt idx="426">
                  <c:v>38</c:v>
                </c:pt>
                <c:pt idx="427">
                  <c:v>18</c:v>
                </c:pt>
                <c:pt idx="428">
                  <c:v>21</c:v>
                </c:pt>
                <c:pt idx="429">
                  <c:v>27</c:v>
                </c:pt>
                <c:pt idx="430">
                  <c:v>19</c:v>
                </c:pt>
                <c:pt idx="431">
                  <c:v>29</c:v>
                </c:pt>
                <c:pt idx="432">
                  <c:v>42</c:v>
                </c:pt>
                <c:pt idx="433">
                  <c:v>60</c:v>
                </c:pt>
                <c:pt idx="434">
                  <c:v>31</c:v>
                </c:pt>
                <c:pt idx="435">
                  <c:v>60</c:v>
                </c:pt>
                <c:pt idx="436">
                  <c:v>22</c:v>
                </c:pt>
                <c:pt idx="437">
                  <c:v>35</c:v>
                </c:pt>
                <c:pt idx="438">
                  <c:v>52</c:v>
                </c:pt>
                <c:pt idx="439">
                  <c:v>26</c:v>
                </c:pt>
                <c:pt idx="440">
                  <c:v>31</c:v>
                </c:pt>
                <c:pt idx="441">
                  <c:v>33</c:v>
                </c:pt>
                <c:pt idx="442">
                  <c:v>18</c:v>
                </c:pt>
                <c:pt idx="443">
                  <c:v>59</c:v>
                </c:pt>
                <c:pt idx="444">
                  <c:v>56</c:v>
                </c:pt>
                <c:pt idx="445">
                  <c:v>45</c:v>
                </c:pt>
                <c:pt idx="446">
                  <c:v>60</c:v>
                </c:pt>
                <c:pt idx="447">
                  <c:v>56</c:v>
                </c:pt>
                <c:pt idx="448">
                  <c:v>40</c:v>
                </c:pt>
                <c:pt idx="449">
                  <c:v>35</c:v>
                </c:pt>
                <c:pt idx="450">
                  <c:v>39</c:v>
                </c:pt>
                <c:pt idx="451">
                  <c:v>30</c:v>
                </c:pt>
                <c:pt idx="452">
                  <c:v>24</c:v>
                </c:pt>
                <c:pt idx="453">
                  <c:v>20</c:v>
                </c:pt>
                <c:pt idx="454">
                  <c:v>32</c:v>
                </c:pt>
                <c:pt idx="455">
                  <c:v>59</c:v>
                </c:pt>
                <c:pt idx="456">
                  <c:v>55</c:v>
                </c:pt>
                <c:pt idx="457">
                  <c:v>57</c:v>
                </c:pt>
                <c:pt idx="458">
                  <c:v>56</c:v>
                </c:pt>
                <c:pt idx="459">
                  <c:v>40</c:v>
                </c:pt>
                <c:pt idx="460">
                  <c:v>49</c:v>
                </c:pt>
                <c:pt idx="461">
                  <c:v>42</c:v>
                </c:pt>
                <c:pt idx="462">
                  <c:v>62</c:v>
                </c:pt>
                <c:pt idx="463">
                  <c:v>56</c:v>
                </c:pt>
                <c:pt idx="464">
                  <c:v>19</c:v>
                </c:pt>
                <c:pt idx="465">
                  <c:v>30</c:v>
                </c:pt>
                <c:pt idx="466">
                  <c:v>60</c:v>
                </c:pt>
                <c:pt idx="467">
                  <c:v>56</c:v>
                </c:pt>
                <c:pt idx="468">
                  <c:v>28</c:v>
                </c:pt>
                <c:pt idx="469">
                  <c:v>18</c:v>
                </c:pt>
                <c:pt idx="470">
                  <c:v>27</c:v>
                </c:pt>
                <c:pt idx="471">
                  <c:v>18</c:v>
                </c:pt>
                <c:pt idx="472">
                  <c:v>19</c:v>
                </c:pt>
                <c:pt idx="473">
                  <c:v>47</c:v>
                </c:pt>
                <c:pt idx="474">
                  <c:v>54</c:v>
                </c:pt>
                <c:pt idx="475">
                  <c:v>61</c:v>
                </c:pt>
                <c:pt idx="476">
                  <c:v>24</c:v>
                </c:pt>
                <c:pt idx="477">
                  <c:v>25</c:v>
                </c:pt>
                <c:pt idx="478">
                  <c:v>21</c:v>
                </c:pt>
                <c:pt idx="479">
                  <c:v>23</c:v>
                </c:pt>
                <c:pt idx="480">
                  <c:v>63</c:v>
                </c:pt>
                <c:pt idx="481">
                  <c:v>49</c:v>
                </c:pt>
                <c:pt idx="482">
                  <c:v>18</c:v>
                </c:pt>
                <c:pt idx="483">
                  <c:v>51</c:v>
                </c:pt>
                <c:pt idx="484">
                  <c:v>48</c:v>
                </c:pt>
                <c:pt idx="485">
                  <c:v>31</c:v>
                </c:pt>
                <c:pt idx="486">
                  <c:v>54</c:v>
                </c:pt>
                <c:pt idx="487">
                  <c:v>19</c:v>
                </c:pt>
                <c:pt idx="488">
                  <c:v>44</c:v>
                </c:pt>
                <c:pt idx="489">
                  <c:v>53</c:v>
                </c:pt>
                <c:pt idx="490">
                  <c:v>19</c:v>
                </c:pt>
                <c:pt idx="491">
                  <c:v>61</c:v>
                </c:pt>
                <c:pt idx="492">
                  <c:v>18</c:v>
                </c:pt>
                <c:pt idx="493">
                  <c:v>61</c:v>
                </c:pt>
                <c:pt idx="494">
                  <c:v>21</c:v>
                </c:pt>
                <c:pt idx="495">
                  <c:v>20</c:v>
                </c:pt>
                <c:pt idx="496">
                  <c:v>31</c:v>
                </c:pt>
                <c:pt idx="497">
                  <c:v>45</c:v>
                </c:pt>
                <c:pt idx="498">
                  <c:v>44</c:v>
                </c:pt>
                <c:pt idx="499">
                  <c:v>62</c:v>
                </c:pt>
                <c:pt idx="500">
                  <c:v>29</c:v>
                </c:pt>
                <c:pt idx="501">
                  <c:v>43</c:v>
                </c:pt>
                <c:pt idx="502">
                  <c:v>51</c:v>
                </c:pt>
                <c:pt idx="503">
                  <c:v>19</c:v>
                </c:pt>
                <c:pt idx="504">
                  <c:v>38</c:v>
                </c:pt>
                <c:pt idx="505">
                  <c:v>37</c:v>
                </c:pt>
                <c:pt idx="506">
                  <c:v>22</c:v>
                </c:pt>
                <c:pt idx="507">
                  <c:v>21</c:v>
                </c:pt>
                <c:pt idx="508">
                  <c:v>24</c:v>
                </c:pt>
                <c:pt idx="509">
                  <c:v>57</c:v>
                </c:pt>
                <c:pt idx="510">
                  <c:v>56</c:v>
                </c:pt>
                <c:pt idx="511">
                  <c:v>27</c:v>
                </c:pt>
                <c:pt idx="512">
                  <c:v>51</c:v>
                </c:pt>
                <c:pt idx="513">
                  <c:v>19</c:v>
                </c:pt>
                <c:pt idx="514">
                  <c:v>39</c:v>
                </c:pt>
                <c:pt idx="515">
                  <c:v>58</c:v>
                </c:pt>
                <c:pt idx="516">
                  <c:v>20</c:v>
                </c:pt>
                <c:pt idx="517">
                  <c:v>45</c:v>
                </c:pt>
                <c:pt idx="518">
                  <c:v>35</c:v>
                </c:pt>
                <c:pt idx="519">
                  <c:v>31</c:v>
                </c:pt>
                <c:pt idx="520">
                  <c:v>50</c:v>
                </c:pt>
                <c:pt idx="521">
                  <c:v>32</c:v>
                </c:pt>
                <c:pt idx="522">
                  <c:v>51</c:v>
                </c:pt>
                <c:pt idx="523">
                  <c:v>38</c:v>
                </c:pt>
                <c:pt idx="524">
                  <c:v>42</c:v>
                </c:pt>
                <c:pt idx="525">
                  <c:v>18</c:v>
                </c:pt>
                <c:pt idx="526">
                  <c:v>19</c:v>
                </c:pt>
                <c:pt idx="527">
                  <c:v>51</c:v>
                </c:pt>
                <c:pt idx="528">
                  <c:v>46</c:v>
                </c:pt>
                <c:pt idx="529">
                  <c:v>18</c:v>
                </c:pt>
                <c:pt idx="530">
                  <c:v>57</c:v>
                </c:pt>
                <c:pt idx="531">
                  <c:v>62</c:v>
                </c:pt>
                <c:pt idx="532">
                  <c:v>59</c:v>
                </c:pt>
                <c:pt idx="533">
                  <c:v>37</c:v>
                </c:pt>
                <c:pt idx="534">
                  <c:v>64</c:v>
                </c:pt>
                <c:pt idx="535">
                  <c:v>38</c:v>
                </c:pt>
                <c:pt idx="536">
                  <c:v>33</c:v>
                </c:pt>
                <c:pt idx="537">
                  <c:v>46</c:v>
                </c:pt>
                <c:pt idx="538">
                  <c:v>46</c:v>
                </c:pt>
                <c:pt idx="539">
                  <c:v>53</c:v>
                </c:pt>
                <c:pt idx="540">
                  <c:v>34</c:v>
                </c:pt>
                <c:pt idx="541">
                  <c:v>20</c:v>
                </c:pt>
                <c:pt idx="542">
                  <c:v>63</c:v>
                </c:pt>
                <c:pt idx="543">
                  <c:v>54</c:v>
                </c:pt>
                <c:pt idx="544">
                  <c:v>54</c:v>
                </c:pt>
                <c:pt idx="545">
                  <c:v>49</c:v>
                </c:pt>
                <c:pt idx="546">
                  <c:v>28</c:v>
                </c:pt>
                <c:pt idx="547">
                  <c:v>54</c:v>
                </c:pt>
                <c:pt idx="548">
                  <c:v>25</c:v>
                </c:pt>
                <c:pt idx="549">
                  <c:v>43</c:v>
                </c:pt>
                <c:pt idx="550">
                  <c:v>63</c:v>
                </c:pt>
                <c:pt idx="551">
                  <c:v>32</c:v>
                </c:pt>
                <c:pt idx="552">
                  <c:v>62</c:v>
                </c:pt>
                <c:pt idx="553">
                  <c:v>52</c:v>
                </c:pt>
                <c:pt idx="554">
                  <c:v>25</c:v>
                </c:pt>
                <c:pt idx="555">
                  <c:v>28</c:v>
                </c:pt>
                <c:pt idx="556">
                  <c:v>46</c:v>
                </c:pt>
                <c:pt idx="557">
                  <c:v>34</c:v>
                </c:pt>
                <c:pt idx="558">
                  <c:v>35</c:v>
                </c:pt>
                <c:pt idx="559">
                  <c:v>19</c:v>
                </c:pt>
                <c:pt idx="560">
                  <c:v>46</c:v>
                </c:pt>
                <c:pt idx="561">
                  <c:v>54</c:v>
                </c:pt>
                <c:pt idx="562">
                  <c:v>27</c:v>
                </c:pt>
                <c:pt idx="563">
                  <c:v>50</c:v>
                </c:pt>
                <c:pt idx="564">
                  <c:v>18</c:v>
                </c:pt>
                <c:pt idx="565">
                  <c:v>19</c:v>
                </c:pt>
                <c:pt idx="566">
                  <c:v>38</c:v>
                </c:pt>
                <c:pt idx="567">
                  <c:v>41</c:v>
                </c:pt>
                <c:pt idx="568">
                  <c:v>49</c:v>
                </c:pt>
                <c:pt idx="569">
                  <c:v>48</c:v>
                </c:pt>
                <c:pt idx="570">
                  <c:v>31</c:v>
                </c:pt>
                <c:pt idx="571">
                  <c:v>18</c:v>
                </c:pt>
                <c:pt idx="572">
                  <c:v>30</c:v>
                </c:pt>
                <c:pt idx="573">
                  <c:v>62</c:v>
                </c:pt>
                <c:pt idx="574">
                  <c:v>57</c:v>
                </c:pt>
                <c:pt idx="575">
                  <c:v>58</c:v>
                </c:pt>
                <c:pt idx="576">
                  <c:v>22</c:v>
                </c:pt>
                <c:pt idx="577">
                  <c:v>31</c:v>
                </c:pt>
                <c:pt idx="578">
                  <c:v>52</c:v>
                </c:pt>
                <c:pt idx="579">
                  <c:v>25</c:v>
                </c:pt>
                <c:pt idx="580">
                  <c:v>59</c:v>
                </c:pt>
                <c:pt idx="581">
                  <c:v>19</c:v>
                </c:pt>
                <c:pt idx="582">
                  <c:v>39</c:v>
                </c:pt>
                <c:pt idx="583">
                  <c:v>32</c:v>
                </c:pt>
                <c:pt idx="584">
                  <c:v>19</c:v>
                </c:pt>
                <c:pt idx="585">
                  <c:v>33</c:v>
                </c:pt>
                <c:pt idx="586">
                  <c:v>21</c:v>
                </c:pt>
                <c:pt idx="587">
                  <c:v>34</c:v>
                </c:pt>
                <c:pt idx="588">
                  <c:v>61</c:v>
                </c:pt>
                <c:pt idx="589">
                  <c:v>38</c:v>
                </c:pt>
                <c:pt idx="590">
                  <c:v>58</c:v>
                </c:pt>
                <c:pt idx="591">
                  <c:v>47</c:v>
                </c:pt>
                <c:pt idx="592">
                  <c:v>20</c:v>
                </c:pt>
                <c:pt idx="593">
                  <c:v>21</c:v>
                </c:pt>
                <c:pt idx="594">
                  <c:v>41</c:v>
                </c:pt>
                <c:pt idx="595">
                  <c:v>46</c:v>
                </c:pt>
                <c:pt idx="596">
                  <c:v>42</c:v>
                </c:pt>
                <c:pt idx="597">
                  <c:v>34</c:v>
                </c:pt>
                <c:pt idx="598">
                  <c:v>43</c:v>
                </c:pt>
                <c:pt idx="599">
                  <c:v>52</c:v>
                </c:pt>
                <c:pt idx="600">
                  <c:v>18</c:v>
                </c:pt>
                <c:pt idx="601">
                  <c:v>51</c:v>
                </c:pt>
                <c:pt idx="602">
                  <c:v>56</c:v>
                </c:pt>
                <c:pt idx="603">
                  <c:v>64</c:v>
                </c:pt>
                <c:pt idx="604">
                  <c:v>19</c:v>
                </c:pt>
                <c:pt idx="605">
                  <c:v>51</c:v>
                </c:pt>
                <c:pt idx="606">
                  <c:v>27</c:v>
                </c:pt>
                <c:pt idx="607">
                  <c:v>59</c:v>
                </c:pt>
                <c:pt idx="608">
                  <c:v>28</c:v>
                </c:pt>
                <c:pt idx="609">
                  <c:v>30</c:v>
                </c:pt>
                <c:pt idx="610">
                  <c:v>47</c:v>
                </c:pt>
                <c:pt idx="611">
                  <c:v>38</c:v>
                </c:pt>
                <c:pt idx="612">
                  <c:v>18</c:v>
                </c:pt>
                <c:pt idx="613">
                  <c:v>34</c:v>
                </c:pt>
                <c:pt idx="614">
                  <c:v>20</c:v>
                </c:pt>
                <c:pt idx="615">
                  <c:v>47</c:v>
                </c:pt>
                <c:pt idx="616">
                  <c:v>56</c:v>
                </c:pt>
                <c:pt idx="617">
                  <c:v>49</c:v>
                </c:pt>
                <c:pt idx="618">
                  <c:v>19</c:v>
                </c:pt>
                <c:pt idx="619">
                  <c:v>55</c:v>
                </c:pt>
                <c:pt idx="620">
                  <c:v>30</c:v>
                </c:pt>
                <c:pt idx="621">
                  <c:v>37</c:v>
                </c:pt>
                <c:pt idx="622">
                  <c:v>49</c:v>
                </c:pt>
                <c:pt idx="623">
                  <c:v>18</c:v>
                </c:pt>
                <c:pt idx="624">
                  <c:v>59</c:v>
                </c:pt>
                <c:pt idx="625">
                  <c:v>29</c:v>
                </c:pt>
                <c:pt idx="626">
                  <c:v>36</c:v>
                </c:pt>
                <c:pt idx="627">
                  <c:v>33</c:v>
                </c:pt>
                <c:pt idx="628">
                  <c:v>58</c:v>
                </c:pt>
                <c:pt idx="629">
                  <c:v>44</c:v>
                </c:pt>
                <c:pt idx="630">
                  <c:v>53</c:v>
                </c:pt>
                <c:pt idx="631">
                  <c:v>24</c:v>
                </c:pt>
                <c:pt idx="632">
                  <c:v>29</c:v>
                </c:pt>
                <c:pt idx="633">
                  <c:v>40</c:v>
                </c:pt>
                <c:pt idx="634">
                  <c:v>51</c:v>
                </c:pt>
                <c:pt idx="635">
                  <c:v>64</c:v>
                </c:pt>
                <c:pt idx="636">
                  <c:v>19</c:v>
                </c:pt>
                <c:pt idx="637">
                  <c:v>35</c:v>
                </c:pt>
                <c:pt idx="638">
                  <c:v>39</c:v>
                </c:pt>
                <c:pt idx="639">
                  <c:v>56</c:v>
                </c:pt>
                <c:pt idx="640">
                  <c:v>33</c:v>
                </c:pt>
                <c:pt idx="641">
                  <c:v>42</c:v>
                </c:pt>
                <c:pt idx="642">
                  <c:v>61</c:v>
                </c:pt>
                <c:pt idx="643">
                  <c:v>23</c:v>
                </c:pt>
                <c:pt idx="644">
                  <c:v>43</c:v>
                </c:pt>
                <c:pt idx="645">
                  <c:v>48</c:v>
                </c:pt>
                <c:pt idx="646">
                  <c:v>39</c:v>
                </c:pt>
                <c:pt idx="647">
                  <c:v>40</c:v>
                </c:pt>
                <c:pt idx="648">
                  <c:v>18</c:v>
                </c:pt>
                <c:pt idx="649">
                  <c:v>58</c:v>
                </c:pt>
                <c:pt idx="650">
                  <c:v>49</c:v>
                </c:pt>
                <c:pt idx="651">
                  <c:v>53</c:v>
                </c:pt>
                <c:pt idx="652">
                  <c:v>48</c:v>
                </c:pt>
                <c:pt idx="653">
                  <c:v>45</c:v>
                </c:pt>
                <c:pt idx="654">
                  <c:v>59</c:v>
                </c:pt>
                <c:pt idx="655">
                  <c:v>52</c:v>
                </c:pt>
                <c:pt idx="656">
                  <c:v>26</c:v>
                </c:pt>
                <c:pt idx="657">
                  <c:v>27</c:v>
                </c:pt>
                <c:pt idx="658">
                  <c:v>48</c:v>
                </c:pt>
                <c:pt idx="659">
                  <c:v>57</c:v>
                </c:pt>
                <c:pt idx="660">
                  <c:v>37</c:v>
                </c:pt>
                <c:pt idx="661">
                  <c:v>57</c:v>
                </c:pt>
                <c:pt idx="662">
                  <c:v>32</c:v>
                </c:pt>
                <c:pt idx="663">
                  <c:v>18</c:v>
                </c:pt>
                <c:pt idx="664">
                  <c:v>64</c:v>
                </c:pt>
                <c:pt idx="665">
                  <c:v>43</c:v>
                </c:pt>
                <c:pt idx="666">
                  <c:v>49</c:v>
                </c:pt>
                <c:pt idx="667">
                  <c:v>40</c:v>
                </c:pt>
                <c:pt idx="668">
                  <c:v>62</c:v>
                </c:pt>
                <c:pt idx="669">
                  <c:v>40</c:v>
                </c:pt>
                <c:pt idx="670">
                  <c:v>30</c:v>
                </c:pt>
                <c:pt idx="671">
                  <c:v>29</c:v>
                </c:pt>
                <c:pt idx="672">
                  <c:v>36</c:v>
                </c:pt>
                <c:pt idx="673">
                  <c:v>41</c:v>
                </c:pt>
                <c:pt idx="674">
                  <c:v>44</c:v>
                </c:pt>
                <c:pt idx="675">
                  <c:v>45</c:v>
                </c:pt>
                <c:pt idx="676">
                  <c:v>55</c:v>
                </c:pt>
                <c:pt idx="677">
                  <c:v>60</c:v>
                </c:pt>
                <c:pt idx="678">
                  <c:v>56</c:v>
                </c:pt>
                <c:pt idx="679">
                  <c:v>49</c:v>
                </c:pt>
                <c:pt idx="680">
                  <c:v>21</c:v>
                </c:pt>
                <c:pt idx="681">
                  <c:v>19</c:v>
                </c:pt>
                <c:pt idx="682">
                  <c:v>39</c:v>
                </c:pt>
                <c:pt idx="683">
                  <c:v>53</c:v>
                </c:pt>
                <c:pt idx="684">
                  <c:v>33</c:v>
                </c:pt>
                <c:pt idx="685">
                  <c:v>53</c:v>
                </c:pt>
                <c:pt idx="686">
                  <c:v>42</c:v>
                </c:pt>
                <c:pt idx="687">
                  <c:v>40</c:v>
                </c:pt>
                <c:pt idx="688">
                  <c:v>47</c:v>
                </c:pt>
                <c:pt idx="689">
                  <c:v>27</c:v>
                </c:pt>
                <c:pt idx="690">
                  <c:v>21</c:v>
                </c:pt>
                <c:pt idx="691">
                  <c:v>47</c:v>
                </c:pt>
                <c:pt idx="692">
                  <c:v>20</c:v>
                </c:pt>
                <c:pt idx="693">
                  <c:v>24</c:v>
                </c:pt>
                <c:pt idx="694">
                  <c:v>27</c:v>
                </c:pt>
                <c:pt idx="695">
                  <c:v>26</c:v>
                </c:pt>
                <c:pt idx="696">
                  <c:v>53</c:v>
                </c:pt>
                <c:pt idx="697">
                  <c:v>41</c:v>
                </c:pt>
                <c:pt idx="698">
                  <c:v>56</c:v>
                </c:pt>
                <c:pt idx="699">
                  <c:v>23</c:v>
                </c:pt>
                <c:pt idx="700">
                  <c:v>21</c:v>
                </c:pt>
                <c:pt idx="701">
                  <c:v>50</c:v>
                </c:pt>
                <c:pt idx="702">
                  <c:v>53</c:v>
                </c:pt>
                <c:pt idx="703">
                  <c:v>34</c:v>
                </c:pt>
                <c:pt idx="704">
                  <c:v>47</c:v>
                </c:pt>
                <c:pt idx="705">
                  <c:v>33</c:v>
                </c:pt>
                <c:pt idx="706">
                  <c:v>51</c:v>
                </c:pt>
                <c:pt idx="707">
                  <c:v>49</c:v>
                </c:pt>
                <c:pt idx="708">
                  <c:v>31</c:v>
                </c:pt>
                <c:pt idx="709">
                  <c:v>36</c:v>
                </c:pt>
                <c:pt idx="710">
                  <c:v>18</c:v>
                </c:pt>
                <c:pt idx="711">
                  <c:v>50</c:v>
                </c:pt>
                <c:pt idx="712">
                  <c:v>43</c:v>
                </c:pt>
                <c:pt idx="713">
                  <c:v>20</c:v>
                </c:pt>
                <c:pt idx="714">
                  <c:v>24</c:v>
                </c:pt>
                <c:pt idx="715">
                  <c:v>60</c:v>
                </c:pt>
                <c:pt idx="716">
                  <c:v>49</c:v>
                </c:pt>
                <c:pt idx="717">
                  <c:v>60</c:v>
                </c:pt>
                <c:pt idx="718">
                  <c:v>51</c:v>
                </c:pt>
                <c:pt idx="719">
                  <c:v>58</c:v>
                </c:pt>
                <c:pt idx="720">
                  <c:v>51</c:v>
                </c:pt>
                <c:pt idx="721">
                  <c:v>53</c:v>
                </c:pt>
                <c:pt idx="722">
                  <c:v>62</c:v>
                </c:pt>
                <c:pt idx="723">
                  <c:v>19</c:v>
                </c:pt>
                <c:pt idx="724">
                  <c:v>50</c:v>
                </c:pt>
                <c:pt idx="725">
                  <c:v>30</c:v>
                </c:pt>
                <c:pt idx="726">
                  <c:v>41</c:v>
                </c:pt>
                <c:pt idx="727">
                  <c:v>29</c:v>
                </c:pt>
                <c:pt idx="728">
                  <c:v>18</c:v>
                </c:pt>
                <c:pt idx="729">
                  <c:v>41</c:v>
                </c:pt>
                <c:pt idx="730">
                  <c:v>35</c:v>
                </c:pt>
                <c:pt idx="731">
                  <c:v>53</c:v>
                </c:pt>
                <c:pt idx="732">
                  <c:v>24</c:v>
                </c:pt>
                <c:pt idx="733">
                  <c:v>48</c:v>
                </c:pt>
                <c:pt idx="734">
                  <c:v>59</c:v>
                </c:pt>
                <c:pt idx="735">
                  <c:v>49</c:v>
                </c:pt>
                <c:pt idx="736">
                  <c:v>37</c:v>
                </c:pt>
                <c:pt idx="737">
                  <c:v>26</c:v>
                </c:pt>
                <c:pt idx="738">
                  <c:v>23</c:v>
                </c:pt>
                <c:pt idx="739">
                  <c:v>29</c:v>
                </c:pt>
                <c:pt idx="740">
                  <c:v>45</c:v>
                </c:pt>
                <c:pt idx="741">
                  <c:v>27</c:v>
                </c:pt>
                <c:pt idx="742">
                  <c:v>53</c:v>
                </c:pt>
                <c:pt idx="743">
                  <c:v>31</c:v>
                </c:pt>
                <c:pt idx="744">
                  <c:v>50</c:v>
                </c:pt>
                <c:pt idx="745">
                  <c:v>50</c:v>
                </c:pt>
                <c:pt idx="746">
                  <c:v>34</c:v>
                </c:pt>
                <c:pt idx="747">
                  <c:v>19</c:v>
                </c:pt>
                <c:pt idx="748">
                  <c:v>47</c:v>
                </c:pt>
                <c:pt idx="749">
                  <c:v>28</c:v>
                </c:pt>
                <c:pt idx="750">
                  <c:v>37</c:v>
                </c:pt>
                <c:pt idx="751">
                  <c:v>21</c:v>
                </c:pt>
                <c:pt idx="752">
                  <c:v>64</c:v>
                </c:pt>
                <c:pt idx="753">
                  <c:v>58</c:v>
                </c:pt>
                <c:pt idx="754">
                  <c:v>24</c:v>
                </c:pt>
                <c:pt idx="755">
                  <c:v>31</c:v>
                </c:pt>
                <c:pt idx="756">
                  <c:v>39</c:v>
                </c:pt>
                <c:pt idx="757">
                  <c:v>47</c:v>
                </c:pt>
                <c:pt idx="758">
                  <c:v>30</c:v>
                </c:pt>
                <c:pt idx="759">
                  <c:v>18</c:v>
                </c:pt>
                <c:pt idx="760">
                  <c:v>22</c:v>
                </c:pt>
                <c:pt idx="761">
                  <c:v>23</c:v>
                </c:pt>
                <c:pt idx="762">
                  <c:v>33</c:v>
                </c:pt>
                <c:pt idx="763">
                  <c:v>27</c:v>
                </c:pt>
                <c:pt idx="764">
                  <c:v>45</c:v>
                </c:pt>
                <c:pt idx="765">
                  <c:v>57</c:v>
                </c:pt>
                <c:pt idx="766">
                  <c:v>47</c:v>
                </c:pt>
                <c:pt idx="767">
                  <c:v>42</c:v>
                </c:pt>
                <c:pt idx="768">
                  <c:v>64</c:v>
                </c:pt>
                <c:pt idx="769">
                  <c:v>38</c:v>
                </c:pt>
                <c:pt idx="770">
                  <c:v>61</c:v>
                </c:pt>
                <c:pt idx="771">
                  <c:v>53</c:v>
                </c:pt>
                <c:pt idx="772">
                  <c:v>44</c:v>
                </c:pt>
                <c:pt idx="773">
                  <c:v>19</c:v>
                </c:pt>
                <c:pt idx="774">
                  <c:v>41</c:v>
                </c:pt>
                <c:pt idx="775">
                  <c:v>51</c:v>
                </c:pt>
                <c:pt idx="776">
                  <c:v>40</c:v>
                </c:pt>
                <c:pt idx="777">
                  <c:v>45</c:v>
                </c:pt>
                <c:pt idx="778">
                  <c:v>35</c:v>
                </c:pt>
                <c:pt idx="779">
                  <c:v>53</c:v>
                </c:pt>
                <c:pt idx="780">
                  <c:v>30</c:v>
                </c:pt>
                <c:pt idx="781">
                  <c:v>18</c:v>
                </c:pt>
                <c:pt idx="782">
                  <c:v>51</c:v>
                </c:pt>
                <c:pt idx="783">
                  <c:v>50</c:v>
                </c:pt>
                <c:pt idx="784">
                  <c:v>31</c:v>
                </c:pt>
                <c:pt idx="785">
                  <c:v>35</c:v>
                </c:pt>
                <c:pt idx="786">
                  <c:v>60</c:v>
                </c:pt>
                <c:pt idx="787">
                  <c:v>21</c:v>
                </c:pt>
                <c:pt idx="788">
                  <c:v>29</c:v>
                </c:pt>
                <c:pt idx="789">
                  <c:v>62</c:v>
                </c:pt>
                <c:pt idx="790">
                  <c:v>39</c:v>
                </c:pt>
                <c:pt idx="791">
                  <c:v>19</c:v>
                </c:pt>
                <c:pt idx="792">
                  <c:v>22</c:v>
                </c:pt>
                <c:pt idx="793">
                  <c:v>53</c:v>
                </c:pt>
                <c:pt idx="794">
                  <c:v>39</c:v>
                </c:pt>
                <c:pt idx="795">
                  <c:v>27</c:v>
                </c:pt>
                <c:pt idx="796">
                  <c:v>30</c:v>
                </c:pt>
                <c:pt idx="797">
                  <c:v>30</c:v>
                </c:pt>
                <c:pt idx="798">
                  <c:v>58</c:v>
                </c:pt>
                <c:pt idx="799">
                  <c:v>33</c:v>
                </c:pt>
                <c:pt idx="800">
                  <c:v>42</c:v>
                </c:pt>
                <c:pt idx="801">
                  <c:v>64</c:v>
                </c:pt>
                <c:pt idx="802">
                  <c:v>21</c:v>
                </c:pt>
                <c:pt idx="803">
                  <c:v>18</c:v>
                </c:pt>
                <c:pt idx="804">
                  <c:v>23</c:v>
                </c:pt>
                <c:pt idx="805">
                  <c:v>45</c:v>
                </c:pt>
                <c:pt idx="806">
                  <c:v>40</c:v>
                </c:pt>
                <c:pt idx="807">
                  <c:v>19</c:v>
                </c:pt>
                <c:pt idx="808">
                  <c:v>18</c:v>
                </c:pt>
                <c:pt idx="809">
                  <c:v>25</c:v>
                </c:pt>
                <c:pt idx="810">
                  <c:v>46</c:v>
                </c:pt>
                <c:pt idx="811">
                  <c:v>33</c:v>
                </c:pt>
                <c:pt idx="812">
                  <c:v>54</c:v>
                </c:pt>
                <c:pt idx="813">
                  <c:v>28</c:v>
                </c:pt>
                <c:pt idx="814">
                  <c:v>36</c:v>
                </c:pt>
                <c:pt idx="815">
                  <c:v>20</c:v>
                </c:pt>
                <c:pt idx="816">
                  <c:v>24</c:v>
                </c:pt>
                <c:pt idx="817">
                  <c:v>23</c:v>
                </c:pt>
                <c:pt idx="818">
                  <c:v>47</c:v>
                </c:pt>
                <c:pt idx="819">
                  <c:v>33</c:v>
                </c:pt>
                <c:pt idx="820">
                  <c:v>45</c:v>
                </c:pt>
                <c:pt idx="821">
                  <c:v>26</c:v>
                </c:pt>
                <c:pt idx="822">
                  <c:v>18</c:v>
                </c:pt>
                <c:pt idx="823">
                  <c:v>44</c:v>
                </c:pt>
                <c:pt idx="824">
                  <c:v>60</c:v>
                </c:pt>
                <c:pt idx="825">
                  <c:v>64</c:v>
                </c:pt>
                <c:pt idx="826">
                  <c:v>56</c:v>
                </c:pt>
                <c:pt idx="827">
                  <c:v>36</c:v>
                </c:pt>
                <c:pt idx="828">
                  <c:v>41</c:v>
                </c:pt>
                <c:pt idx="829">
                  <c:v>39</c:v>
                </c:pt>
                <c:pt idx="830">
                  <c:v>63</c:v>
                </c:pt>
                <c:pt idx="831">
                  <c:v>36</c:v>
                </c:pt>
                <c:pt idx="832">
                  <c:v>28</c:v>
                </c:pt>
                <c:pt idx="833">
                  <c:v>58</c:v>
                </c:pt>
                <c:pt idx="834">
                  <c:v>36</c:v>
                </c:pt>
                <c:pt idx="835">
                  <c:v>42</c:v>
                </c:pt>
                <c:pt idx="836">
                  <c:v>36</c:v>
                </c:pt>
                <c:pt idx="837">
                  <c:v>56</c:v>
                </c:pt>
                <c:pt idx="838">
                  <c:v>35</c:v>
                </c:pt>
                <c:pt idx="839">
                  <c:v>59</c:v>
                </c:pt>
                <c:pt idx="840">
                  <c:v>21</c:v>
                </c:pt>
                <c:pt idx="841">
                  <c:v>59</c:v>
                </c:pt>
                <c:pt idx="842">
                  <c:v>23</c:v>
                </c:pt>
                <c:pt idx="843">
                  <c:v>57</c:v>
                </c:pt>
                <c:pt idx="844">
                  <c:v>53</c:v>
                </c:pt>
                <c:pt idx="845">
                  <c:v>60</c:v>
                </c:pt>
                <c:pt idx="846">
                  <c:v>51</c:v>
                </c:pt>
                <c:pt idx="847">
                  <c:v>23</c:v>
                </c:pt>
                <c:pt idx="848">
                  <c:v>27</c:v>
                </c:pt>
                <c:pt idx="849">
                  <c:v>55</c:v>
                </c:pt>
                <c:pt idx="850">
                  <c:v>37</c:v>
                </c:pt>
                <c:pt idx="851">
                  <c:v>61</c:v>
                </c:pt>
                <c:pt idx="852">
                  <c:v>46</c:v>
                </c:pt>
                <c:pt idx="853">
                  <c:v>53</c:v>
                </c:pt>
                <c:pt idx="854">
                  <c:v>49</c:v>
                </c:pt>
                <c:pt idx="855">
                  <c:v>20</c:v>
                </c:pt>
                <c:pt idx="856">
                  <c:v>48</c:v>
                </c:pt>
                <c:pt idx="857">
                  <c:v>25</c:v>
                </c:pt>
                <c:pt idx="858">
                  <c:v>25</c:v>
                </c:pt>
                <c:pt idx="859">
                  <c:v>57</c:v>
                </c:pt>
                <c:pt idx="860">
                  <c:v>37</c:v>
                </c:pt>
                <c:pt idx="861">
                  <c:v>38</c:v>
                </c:pt>
                <c:pt idx="862">
                  <c:v>55</c:v>
                </c:pt>
                <c:pt idx="863">
                  <c:v>36</c:v>
                </c:pt>
                <c:pt idx="864">
                  <c:v>51</c:v>
                </c:pt>
                <c:pt idx="865">
                  <c:v>40</c:v>
                </c:pt>
                <c:pt idx="866">
                  <c:v>18</c:v>
                </c:pt>
                <c:pt idx="867">
                  <c:v>57</c:v>
                </c:pt>
                <c:pt idx="868">
                  <c:v>61</c:v>
                </c:pt>
                <c:pt idx="869">
                  <c:v>25</c:v>
                </c:pt>
                <c:pt idx="870">
                  <c:v>50</c:v>
                </c:pt>
                <c:pt idx="871">
                  <c:v>26</c:v>
                </c:pt>
                <c:pt idx="872">
                  <c:v>42</c:v>
                </c:pt>
                <c:pt idx="873">
                  <c:v>43</c:v>
                </c:pt>
                <c:pt idx="874">
                  <c:v>44</c:v>
                </c:pt>
                <c:pt idx="875">
                  <c:v>23</c:v>
                </c:pt>
                <c:pt idx="876">
                  <c:v>49</c:v>
                </c:pt>
                <c:pt idx="877">
                  <c:v>33</c:v>
                </c:pt>
                <c:pt idx="878">
                  <c:v>41</c:v>
                </c:pt>
                <c:pt idx="879">
                  <c:v>37</c:v>
                </c:pt>
                <c:pt idx="880">
                  <c:v>22</c:v>
                </c:pt>
                <c:pt idx="881">
                  <c:v>23</c:v>
                </c:pt>
                <c:pt idx="882">
                  <c:v>21</c:v>
                </c:pt>
                <c:pt idx="883">
                  <c:v>51</c:v>
                </c:pt>
                <c:pt idx="884">
                  <c:v>25</c:v>
                </c:pt>
                <c:pt idx="885">
                  <c:v>32</c:v>
                </c:pt>
                <c:pt idx="886">
                  <c:v>57</c:v>
                </c:pt>
                <c:pt idx="887">
                  <c:v>36</c:v>
                </c:pt>
                <c:pt idx="888">
                  <c:v>22</c:v>
                </c:pt>
                <c:pt idx="889">
                  <c:v>57</c:v>
                </c:pt>
                <c:pt idx="890">
                  <c:v>64</c:v>
                </c:pt>
                <c:pt idx="891">
                  <c:v>36</c:v>
                </c:pt>
                <c:pt idx="892">
                  <c:v>54</c:v>
                </c:pt>
                <c:pt idx="893">
                  <c:v>47</c:v>
                </c:pt>
                <c:pt idx="894">
                  <c:v>62</c:v>
                </c:pt>
                <c:pt idx="895">
                  <c:v>61</c:v>
                </c:pt>
                <c:pt idx="896">
                  <c:v>43</c:v>
                </c:pt>
                <c:pt idx="897">
                  <c:v>19</c:v>
                </c:pt>
                <c:pt idx="898">
                  <c:v>18</c:v>
                </c:pt>
                <c:pt idx="899">
                  <c:v>19</c:v>
                </c:pt>
                <c:pt idx="900">
                  <c:v>49</c:v>
                </c:pt>
                <c:pt idx="901">
                  <c:v>60</c:v>
                </c:pt>
                <c:pt idx="902">
                  <c:v>26</c:v>
                </c:pt>
                <c:pt idx="903">
                  <c:v>49</c:v>
                </c:pt>
                <c:pt idx="904">
                  <c:v>60</c:v>
                </c:pt>
                <c:pt idx="905">
                  <c:v>26</c:v>
                </c:pt>
                <c:pt idx="906">
                  <c:v>27</c:v>
                </c:pt>
                <c:pt idx="907">
                  <c:v>44</c:v>
                </c:pt>
                <c:pt idx="908">
                  <c:v>63</c:v>
                </c:pt>
                <c:pt idx="909">
                  <c:v>32</c:v>
                </c:pt>
                <c:pt idx="910">
                  <c:v>22</c:v>
                </c:pt>
                <c:pt idx="911">
                  <c:v>18</c:v>
                </c:pt>
                <c:pt idx="912">
                  <c:v>59</c:v>
                </c:pt>
                <c:pt idx="913">
                  <c:v>44</c:v>
                </c:pt>
                <c:pt idx="914">
                  <c:v>33</c:v>
                </c:pt>
                <c:pt idx="915">
                  <c:v>24</c:v>
                </c:pt>
                <c:pt idx="916">
                  <c:v>43</c:v>
                </c:pt>
                <c:pt idx="917">
                  <c:v>45</c:v>
                </c:pt>
                <c:pt idx="918">
                  <c:v>61</c:v>
                </c:pt>
                <c:pt idx="919">
                  <c:v>35</c:v>
                </c:pt>
                <c:pt idx="920">
                  <c:v>62</c:v>
                </c:pt>
                <c:pt idx="921">
                  <c:v>62</c:v>
                </c:pt>
                <c:pt idx="922">
                  <c:v>38</c:v>
                </c:pt>
                <c:pt idx="923">
                  <c:v>34</c:v>
                </c:pt>
                <c:pt idx="924">
                  <c:v>43</c:v>
                </c:pt>
                <c:pt idx="925">
                  <c:v>50</c:v>
                </c:pt>
                <c:pt idx="926">
                  <c:v>19</c:v>
                </c:pt>
                <c:pt idx="927">
                  <c:v>57</c:v>
                </c:pt>
                <c:pt idx="928">
                  <c:v>62</c:v>
                </c:pt>
                <c:pt idx="929">
                  <c:v>41</c:v>
                </c:pt>
                <c:pt idx="930">
                  <c:v>26</c:v>
                </c:pt>
                <c:pt idx="931">
                  <c:v>39</c:v>
                </c:pt>
                <c:pt idx="932">
                  <c:v>46</c:v>
                </c:pt>
                <c:pt idx="933">
                  <c:v>45</c:v>
                </c:pt>
                <c:pt idx="934">
                  <c:v>32</c:v>
                </c:pt>
                <c:pt idx="935">
                  <c:v>59</c:v>
                </c:pt>
                <c:pt idx="936">
                  <c:v>44</c:v>
                </c:pt>
                <c:pt idx="937">
                  <c:v>39</c:v>
                </c:pt>
                <c:pt idx="938">
                  <c:v>18</c:v>
                </c:pt>
                <c:pt idx="939">
                  <c:v>53</c:v>
                </c:pt>
                <c:pt idx="940">
                  <c:v>18</c:v>
                </c:pt>
                <c:pt idx="941">
                  <c:v>50</c:v>
                </c:pt>
                <c:pt idx="942">
                  <c:v>18</c:v>
                </c:pt>
                <c:pt idx="943">
                  <c:v>19</c:v>
                </c:pt>
                <c:pt idx="944">
                  <c:v>62</c:v>
                </c:pt>
                <c:pt idx="945">
                  <c:v>56</c:v>
                </c:pt>
                <c:pt idx="946">
                  <c:v>42</c:v>
                </c:pt>
                <c:pt idx="947">
                  <c:v>37</c:v>
                </c:pt>
                <c:pt idx="948">
                  <c:v>42</c:v>
                </c:pt>
                <c:pt idx="949">
                  <c:v>25</c:v>
                </c:pt>
                <c:pt idx="950">
                  <c:v>57</c:v>
                </c:pt>
                <c:pt idx="951">
                  <c:v>51</c:v>
                </c:pt>
                <c:pt idx="952">
                  <c:v>30</c:v>
                </c:pt>
                <c:pt idx="953">
                  <c:v>44</c:v>
                </c:pt>
                <c:pt idx="954">
                  <c:v>34</c:v>
                </c:pt>
                <c:pt idx="955">
                  <c:v>31</c:v>
                </c:pt>
                <c:pt idx="956">
                  <c:v>54</c:v>
                </c:pt>
                <c:pt idx="957">
                  <c:v>24</c:v>
                </c:pt>
                <c:pt idx="958">
                  <c:v>43</c:v>
                </c:pt>
                <c:pt idx="959">
                  <c:v>48</c:v>
                </c:pt>
                <c:pt idx="960">
                  <c:v>19</c:v>
                </c:pt>
                <c:pt idx="961">
                  <c:v>29</c:v>
                </c:pt>
                <c:pt idx="962">
                  <c:v>63</c:v>
                </c:pt>
                <c:pt idx="963">
                  <c:v>46</c:v>
                </c:pt>
                <c:pt idx="964">
                  <c:v>52</c:v>
                </c:pt>
                <c:pt idx="965">
                  <c:v>35</c:v>
                </c:pt>
                <c:pt idx="966">
                  <c:v>51</c:v>
                </c:pt>
                <c:pt idx="967">
                  <c:v>44</c:v>
                </c:pt>
                <c:pt idx="968">
                  <c:v>21</c:v>
                </c:pt>
                <c:pt idx="969">
                  <c:v>39</c:v>
                </c:pt>
                <c:pt idx="970">
                  <c:v>50</c:v>
                </c:pt>
                <c:pt idx="971">
                  <c:v>34</c:v>
                </c:pt>
                <c:pt idx="972">
                  <c:v>22</c:v>
                </c:pt>
                <c:pt idx="973">
                  <c:v>19</c:v>
                </c:pt>
                <c:pt idx="974">
                  <c:v>26</c:v>
                </c:pt>
                <c:pt idx="975">
                  <c:v>29</c:v>
                </c:pt>
                <c:pt idx="976">
                  <c:v>48</c:v>
                </c:pt>
                <c:pt idx="977">
                  <c:v>26</c:v>
                </c:pt>
                <c:pt idx="978">
                  <c:v>45</c:v>
                </c:pt>
                <c:pt idx="979">
                  <c:v>36</c:v>
                </c:pt>
                <c:pt idx="980">
                  <c:v>54</c:v>
                </c:pt>
                <c:pt idx="981">
                  <c:v>34</c:v>
                </c:pt>
                <c:pt idx="982">
                  <c:v>31</c:v>
                </c:pt>
                <c:pt idx="983">
                  <c:v>27</c:v>
                </c:pt>
                <c:pt idx="984">
                  <c:v>20</c:v>
                </c:pt>
                <c:pt idx="985">
                  <c:v>44</c:v>
                </c:pt>
                <c:pt idx="986">
                  <c:v>43</c:v>
                </c:pt>
                <c:pt idx="987">
                  <c:v>45</c:v>
                </c:pt>
                <c:pt idx="988">
                  <c:v>34</c:v>
                </c:pt>
                <c:pt idx="989">
                  <c:v>24</c:v>
                </c:pt>
                <c:pt idx="990">
                  <c:v>26</c:v>
                </c:pt>
                <c:pt idx="991">
                  <c:v>38</c:v>
                </c:pt>
                <c:pt idx="992">
                  <c:v>50</c:v>
                </c:pt>
                <c:pt idx="993">
                  <c:v>38</c:v>
                </c:pt>
                <c:pt idx="994">
                  <c:v>27</c:v>
                </c:pt>
                <c:pt idx="995">
                  <c:v>39</c:v>
                </c:pt>
                <c:pt idx="996">
                  <c:v>39</c:v>
                </c:pt>
                <c:pt idx="997">
                  <c:v>63</c:v>
                </c:pt>
                <c:pt idx="998">
                  <c:v>33</c:v>
                </c:pt>
                <c:pt idx="999">
                  <c:v>36</c:v>
                </c:pt>
                <c:pt idx="1000">
                  <c:v>30</c:v>
                </c:pt>
                <c:pt idx="1001">
                  <c:v>24</c:v>
                </c:pt>
                <c:pt idx="1002">
                  <c:v>24</c:v>
                </c:pt>
                <c:pt idx="1003">
                  <c:v>48</c:v>
                </c:pt>
                <c:pt idx="1004">
                  <c:v>47</c:v>
                </c:pt>
                <c:pt idx="1005">
                  <c:v>29</c:v>
                </c:pt>
                <c:pt idx="1006">
                  <c:v>28</c:v>
                </c:pt>
                <c:pt idx="1007">
                  <c:v>47</c:v>
                </c:pt>
                <c:pt idx="1008">
                  <c:v>25</c:v>
                </c:pt>
                <c:pt idx="1009">
                  <c:v>51</c:v>
                </c:pt>
                <c:pt idx="1010">
                  <c:v>48</c:v>
                </c:pt>
                <c:pt idx="1011">
                  <c:v>43</c:v>
                </c:pt>
                <c:pt idx="1012">
                  <c:v>61</c:v>
                </c:pt>
                <c:pt idx="1013">
                  <c:v>48</c:v>
                </c:pt>
                <c:pt idx="1014">
                  <c:v>38</c:v>
                </c:pt>
                <c:pt idx="1015">
                  <c:v>59</c:v>
                </c:pt>
                <c:pt idx="1016">
                  <c:v>19</c:v>
                </c:pt>
                <c:pt idx="1017">
                  <c:v>26</c:v>
                </c:pt>
                <c:pt idx="1018">
                  <c:v>54</c:v>
                </c:pt>
                <c:pt idx="1019">
                  <c:v>21</c:v>
                </c:pt>
                <c:pt idx="1020">
                  <c:v>51</c:v>
                </c:pt>
                <c:pt idx="1021">
                  <c:v>22</c:v>
                </c:pt>
                <c:pt idx="1022">
                  <c:v>47</c:v>
                </c:pt>
                <c:pt idx="1023">
                  <c:v>18</c:v>
                </c:pt>
                <c:pt idx="1024">
                  <c:v>47</c:v>
                </c:pt>
                <c:pt idx="1025">
                  <c:v>21</c:v>
                </c:pt>
                <c:pt idx="1026">
                  <c:v>19</c:v>
                </c:pt>
                <c:pt idx="1027">
                  <c:v>23</c:v>
                </c:pt>
                <c:pt idx="1028">
                  <c:v>54</c:v>
                </c:pt>
                <c:pt idx="1029">
                  <c:v>37</c:v>
                </c:pt>
                <c:pt idx="1030">
                  <c:v>46</c:v>
                </c:pt>
                <c:pt idx="1031">
                  <c:v>55</c:v>
                </c:pt>
                <c:pt idx="1032">
                  <c:v>30</c:v>
                </c:pt>
                <c:pt idx="1033">
                  <c:v>18</c:v>
                </c:pt>
                <c:pt idx="1034">
                  <c:v>61</c:v>
                </c:pt>
                <c:pt idx="1035">
                  <c:v>54</c:v>
                </c:pt>
                <c:pt idx="1036">
                  <c:v>22</c:v>
                </c:pt>
                <c:pt idx="1037">
                  <c:v>45</c:v>
                </c:pt>
                <c:pt idx="1038">
                  <c:v>22</c:v>
                </c:pt>
                <c:pt idx="1039">
                  <c:v>19</c:v>
                </c:pt>
                <c:pt idx="1040">
                  <c:v>35</c:v>
                </c:pt>
                <c:pt idx="1041">
                  <c:v>18</c:v>
                </c:pt>
                <c:pt idx="1042">
                  <c:v>20</c:v>
                </c:pt>
                <c:pt idx="1043">
                  <c:v>28</c:v>
                </c:pt>
                <c:pt idx="1044">
                  <c:v>55</c:v>
                </c:pt>
                <c:pt idx="1045">
                  <c:v>43</c:v>
                </c:pt>
                <c:pt idx="1046">
                  <c:v>43</c:v>
                </c:pt>
                <c:pt idx="1047">
                  <c:v>22</c:v>
                </c:pt>
                <c:pt idx="1048">
                  <c:v>25</c:v>
                </c:pt>
                <c:pt idx="1049">
                  <c:v>49</c:v>
                </c:pt>
                <c:pt idx="1050">
                  <c:v>44</c:v>
                </c:pt>
                <c:pt idx="1051">
                  <c:v>64</c:v>
                </c:pt>
                <c:pt idx="1052">
                  <c:v>49</c:v>
                </c:pt>
                <c:pt idx="1053">
                  <c:v>47</c:v>
                </c:pt>
                <c:pt idx="1054">
                  <c:v>27</c:v>
                </c:pt>
                <c:pt idx="1055">
                  <c:v>55</c:v>
                </c:pt>
                <c:pt idx="1056">
                  <c:v>48</c:v>
                </c:pt>
                <c:pt idx="1057">
                  <c:v>45</c:v>
                </c:pt>
                <c:pt idx="1058">
                  <c:v>24</c:v>
                </c:pt>
                <c:pt idx="1059">
                  <c:v>32</c:v>
                </c:pt>
                <c:pt idx="1060">
                  <c:v>24</c:v>
                </c:pt>
                <c:pt idx="1061">
                  <c:v>57</c:v>
                </c:pt>
                <c:pt idx="1062">
                  <c:v>59</c:v>
                </c:pt>
                <c:pt idx="1063">
                  <c:v>36</c:v>
                </c:pt>
                <c:pt idx="1064">
                  <c:v>29</c:v>
                </c:pt>
                <c:pt idx="1065">
                  <c:v>42</c:v>
                </c:pt>
                <c:pt idx="1066">
                  <c:v>48</c:v>
                </c:pt>
                <c:pt idx="1067">
                  <c:v>39</c:v>
                </c:pt>
                <c:pt idx="1068">
                  <c:v>63</c:v>
                </c:pt>
                <c:pt idx="1069">
                  <c:v>54</c:v>
                </c:pt>
                <c:pt idx="1070">
                  <c:v>37</c:v>
                </c:pt>
                <c:pt idx="1071">
                  <c:v>63</c:v>
                </c:pt>
                <c:pt idx="1072">
                  <c:v>21</c:v>
                </c:pt>
                <c:pt idx="1073">
                  <c:v>54</c:v>
                </c:pt>
                <c:pt idx="1074">
                  <c:v>60</c:v>
                </c:pt>
                <c:pt idx="1075">
                  <c:v>32</c:v>
                </c:pt>
                <c:pt idx="1076">
                  <c:v>47</c:v>
                </c:pt>
                <c:pt idx="1077">
                  <c:v>21</c:v>
                </c:pt>
                <c:pt idx="1078">
                  <c:v>28</c:v>
                </c:pt>
                <c:pt idx="1079">
                  <c:v>63</c:v>
                </c:pt>
                <c:pt idx="1080">
                  <c:v>18</c:v>
                </c:pt>
                <c:pt idx="1081">
                  <c:v>32</c:v>
                </c:pt>
                <c:pt idx="1082">
                  <c:v>38</c:v>
                </c:pt>
                <c:pt idx="1083">
                  <c:v>32</c:v>
                </c:pt>
                <c:pt idx="1084">
                  <c:v>62</c:v>
                </c:pt>
                <c:pt idx="1085">
                  <c:v>39</c:v>
                </c:pt>
                <c:pt idx="1086">
                  <c:v>55</c:v>
                </c:pt>
                <c:pt idx="1087">
                  <c:v>57</c:v>
                </c:pt>
                <c:pt idx="1088">
                  <c:v>52</c:v>
                </c:pt>
                <c:pt idx="1089">
                  <c:v>56</c:v>
                </c:pt>
                <c:pt idx="1090">
                  <c:v>47</c:v>
                </c:pt>
                <c:pt idx="1091">
                  <c:v>55</c:v>
                </c:pt>
                <c:pt idx="1092">
                  <c:v>23</c:v>
                </c:pt>
                <c:pt idx="1093">
                  <c:v>22</c:v>
                </c:pt>
                <c:pt idx="1094">
                  <c:v>50</c:v>
                </c:pt>
                <c:pt idx="1095">
                  <c:v>18</c:v>
                </c:pt>
                <c:pt idx="1096">
                  <c:v>51</c:v>
                </c:pt>
                <c:pt idx="1097">
                  <c:v>22</c:v>
                </c:pt>
                <c:pt idx="1098">
                  <c:v>52</c:v>
                </c:pt>
                <c:pt idx="1099">
                  <c:v>25</c:v>
                </c:pt>
                <c:pt idx="1100">
                  <c:v>33</c:v>
                </c:pt>
                <c:pt idx="1101">
                  <c:v>53</c:v>
                </c:pt>
                <c:pt idx="1102">
                  <c:v>29</c:v>
                </c:pt>
                <c:pt idx="1103">
                  <c:v>58</c:v>
                </c:pt>
                <c:pt idx="1104">
                  <c:v>37</c:v>
                </c:pt>
                <c:pt idx="1105">
                  <c:v>54</c:v>
                </c:pt>
                <c:pt idx="1106">
                  <c:v>49</c:v>
                </c:pt>
                <c:pt idx="1107">
                  <c:v>50</c:v>
                </c:pt>
                <c:pt idx="1108">
                  <c:v>26</c:v>
                </c:pt>
                <c:pt idx="1109">
                  <c:v>45</c:v>
                </c:pt>
                <c:pt idx="1110">
                  <c:v>54</c:v>
                </c:pt>
                <c:pt idx="1111">
                  <c:v>38</c:v>
                </c:pt>
                <c:pt idx="1112">
                  <c:v>48</c:v>
                </c:pt>
                <c:pt idx="1113">
                  <c:v>28</c:v>
                </c:pt>
                <c:pt idx="1114">
                  <c:v>23</c:v>
                </c:pt>
                <c:pt idx="1115">
                  <c:v>55</c:v>
                </c:pt>
                <c:pt idx="1116">
                  <c:v>41</c:v>
                </c:pt>
                <c:pt idx="1117">
                  <c:v>25</c:v>
                </c:pt>
                <c:pt idx="1118">
                  <c:v>33</c:v>
                </c:pt>
                <c:pt idx="1119">
                  <c:v>30</c:v>
                </c:pt>
                <c:pt idx="1120">
                  <c:v>23</c:v>
                </c:pt>
                <c:pt idx="1121">
                  <c:v>46</c:v>
                </c:pt>
                <c:pt idx="1122">
                  <c:v>53</c:v>
                </c:pt>
                <c:pt idx="1123">
                  <c:v>27</c:v>
                </c:pt>
                <c:pt idx="1124">
                  <c:v>23</c:v>
                </c:pt>
                <c:pt idx="1125">
                  <c:v>63</c:v>
                </c:pt>
                <c:pt idx="1126">
                  <c:v>55</c:v>
                </c:pt>
                <c:pt idx="1127">
                  <c:v>35</c:v>
                </c:pt>
                <c:pt idx="1128">
                  <c:v>34</c:v>
                </c:pt>
                <c:pt idx="1129">
                  <c:v>19</c:v>
                </c:pt>
                <c:pt idx="1130">
                  <c:v>39</c:v>
                </c:pt>
                <c:pt idx="1131">
                  <c:v>27</c:v>
                </c:pt>
                <c:pt idx="1132">
                  <c:v>57</c:v>
                </c:pt>
                <c:pt idx="1133">
                  <c:v>52</c:v>
                </c:pt>
                <c:pt idx="1134">
                  <c:v>28</c:v>
                </c:pt>
                <c:pt idx="1135">
                  <c:v>50</c:v>
                </c:pt>
                <c:pt idx="1136">
                  <c:v>44</c:v>
                </c:pt>
                <c:pt idx="1137">
                  <c:v>26</c:v>
                </c:pt>
                <c:pt idx="1138">
                  <c:v>33</c:v>
                </c:pt>
                <c:pt idx="1139">
                  <c:v>19</c:v>
                </c:pt>
                <c:pt idx="1140">
                  <c:v>50</c:v>
                </c:pt>
                <c:pt idx="1141">
                  <c:v>41</c:v>
                </c:pt>
                <c:pt idx="1142">
                  <c:v>52</c:v>
                </c:pt>
                <c:pt idx="1143">
                  <c:v>39</c:v>
                </c:pt>
                <c:pt idx="1144">
                  <c:v>50</c:v>
                </c:pt>
                <c:pt idx="1145">
                  <c:v>52</c:v>
                </c:pt>
                <c:pt idx="1146">
                  <c:v>60</c:v>
                </c:pt>
                <c:pt idx="1147">
                  <c:v>20</c:v>
                </c:pt>
                <c:pt idx="1148">
                  <c:v>55</c:v>
                </c:pt>
                <c:pt idx="1149">
                  <c:v>42</c:v>
                </c:pt>
                <c:pt idx="1150">
                  <c:v>18</c:v>
                </c:pt>
                <c:pt idx="1151">
                  <c:v>58</c:v>
                </c:pt>
                <c:pt idx="1152">
                  <c:v>43</c:v>
                </c:pt>
                <c:pt idx="1153">
                  <c:v>35</c:v>
                </c:pt>
                <c:pt idx="1154">
                  <c:v>48</c:v>
                </c:pt>
                <c:pt idx="1155">
                  <c:v>36</c:v>
                </c:pt>
                <c:pt idx="1156">
                  <c:v>19</c:v>
                </c:pt>
                <c:pt idx="1157">
                  <c:v>23</c:v>
                </c:pt>
                <c:pt idx="1158">
                  <c:v>20</c:v>
                </c:pt>
                <c:pt idx="1159">
                  <c:v>32</c:v>
                </c:pt>
                <c:pt idx="1160">
                  <c:v>43</c:v>
                </c:pt>
                <c:pt idx="1161">
                  <c:v>34</c:v>
                </c:pt>
                <c:pt idx="1162">
                  <c:v>30</c:v>
                </c:pt>
                <c:pt idx="1163">
                  <c:v>18</c:v>
                </c:pt>
                <c:pt idx="1164">
                  <c:v>41</c:v>
                </c:pt>
                <c:pt idx="1165">
                  <c:v>35</c:v>
                </c:pt>
                <c:pt idx="1166">
                  <c:v>57</c:v>
                </c:pt>
                <c:pt idx="1167">
                  <c:v>29</c:v>
                </c:pt>
                <c:pt idx="1168">
                  <c:v>32</c:v>
                </c:pt>
                <c:pt idx="1169">
                  <c:v>37</c:v>
                </c:pt>
                <c:pt idx="1170">
                  <c:v>18</c:v>
                </c:pt>
                <c:pt idx="1171">
                  <c:v>43</c:v>
                </c:pt>
                <c:pt idx="1172">
                  <c:v>56</c:v>
                </c:pt>
                <c:pt idx="1173">
                  <c:v>38</c:v>
                </c:pt>
                <c:pt idx="1174">
                  <c:v>29</c:v>
                </c:pt>
                <c:pt idx="1175">
                  <c:v>22</c:v>
                </c:pt>
                <c:pt idx="1176">
                  <c:v>52</c:v>
                </c:pt>
                <c:pt idx="1177">
                  <c:v>40</c:v>
                </c:pt>
                <c:pt idx="1178">
                  <c:v>23</c:v>
                </c:pt>
                <c:pt idx="1179">
                  <c:v>31</c:v>
                </c:pt>
                <c:pt idx="1180">
                  <c:v>42</c:v>
                </c:pt>
                <c:pt idx="1181">
                  <c:v>24</c:v>
                </c:pt>
                <c:pt idx="1182">
                  <c:v>25</c:v>
                </c:pt>
                <c:pt idx="1183">
                  <c:v>48</c:v>
                </c:pt>
                <c:pt idx="1184">
                  <c:v>23</c:v>
                </c:pt>
                <c:pt idx="1185">
                  <c:v>45</c:v>
                </c:pt>
                <c:pt idx="1186">
                  <c:v>20</c:v>
                </c:pt>
                <c:pt idx="1187">
                  <c:v>62</c:v>
                </c:pt>
                <c:pt idx="1188">
                  <c:v>43</c:v>
                </c:pt>
                <c:pt idx="1189">
                  <c:v>23</c:v>
                </c:pt>
                <c:pt idx="1190">
                  <c:v>31</c:v>
                </c:pt>
                <c:pt idx="1191">
                  <c:v>41</c:v>
                </c:pt>
                <c:pt idx="1192">
                  <c:v>58</c:v>
                </c:pt>
                <c:pt idx="1193">
                  <c:v>48</c:v>
                </c:pt>
                <c:pt idx="1194">
                  <c:v>31</c:v>
                </c:pt>
                <c:pt idx="1195">
                  <c:v>19</c:v>
                </c:pt>
                <c:pt idx="1196">
                  <c:v>19</c:v>
                </c:pt>
                <c:pt idx="1197">
                  <c:v>41</c:v>
                </c:pt>
                <c:pt idx="1198">
                  <c:v>40</c:v>
                </c:pt>
                <c:pt idx="1199">
                  <c:v>31</c:v>
                </c:pt>
                <c:pt idx="1200">
                  <c:v>37</c:v>
                </c:pt>
                <c:pt idx="1201">
                  <c:v>46</c:v>
                </c:pt>
                <c:pt idx="1202">
                  <c:v>22</c:v>
                </c:pt>
                <c:pt idx="1203">
                  <c:v>51</c:v>
                </c:pt>
                <c:pt idx="1204">
                  <c:v>18</c:v>
                </c:pt>
                <c:pt idx="1205">
                  <c:v>35</c:v>
                </c:pt>
                <c:pt idx="1206">
                  <c:v>59</c:v>
                </c:pt>
                <c:pt idx="1207">
                  <c:v>36</c:v>
                </c:pt>
                <c:pt idx="1208">
                  <c:v>37</c:v>
                </c:pt>
                <c:pt idx="1209">
                  <c:v>59</c:v>
                </c:pt>
                <c:pt idx="1210">
                  <c:v>36</c:v>
                </c:pt>
                <c:pt idx="1211">
                  <c:v>39</c:v>
                </c:pt>
                <c:pt idx="1212">
                  <c:v>18</c:v>
                </c:pt>
                <c:pt idx="1213">
                  <c:v>52</c:v>
                </c:pt>
                <c:pt idx="1214">
                  <c:v>27</c:v>
                </c:pt>
                <c:pt idx="1215">
                  <c:v>18</c:v>
                </c:pt>
                <c:pt idx="1216">
                  <c:v>40</c:v>
                </c:pt>
                <c:pt idx="1217">
                  <c:v>29</c:v>
                </c:pt>
                <c:pt idx="1218">
                  <c:v>46</c:v>
                </c:pt>
                <c:pt idx="1219">
                  <c:v>38</c:v>
                </c:pt>
                <c:pt idx="1220">
                  <c:v>30</c:v>
                </c:pt>
                <c:pt idx="1221">
                  <c:v>40</c:v>
                </c:pt>
                <c:pt idx="1222">
                  <c:v>50</c:v>
                </c:pt>
                <c:pt idx="1223">
                  <c:v>20</c:v>
                </c:pt>
                <c:pt idx="1224">
                  <c:v>41</c:v>
                </c:pt>
                <c:pt idx="1225">
                  <c:v>33</c:v>
                </c:pt>
                <c:pt idx="1226">
                  <c:v>38</c:v>
                </c:pt>
                <c:pt idx="1227">
                  <c:v>42</c:v>
                </c:pt>
                <c:pt idx="1228">
                  <c:v>56</c:v>
                </c:pt>
                <c:pt idx="1229">
                  <c:v>58</c:v>
                </c:pt>
                <c:pt idx="1230">
                  <c:v>52</c:v>
                </c:pt>
                <c:pt idx="1231">
                  <c:v>20</c:v>
                </c:pt>
                <c:pt idx="1232">
                  <c:v>54</c:v>
                </c:pt>
                <c:pt idx="1233">
                  <c:v>58</c:v>
                </c:pt>
                <c:pt idx="1234">
                  <c:v>45</c:v>
                </c:pt>
                <c:pt idx="1235">
                  <c:v>26</c:v>
                </c:pt>
                <c:pt idx="1236">
                  <c:v>63</c:v>
                </c:pt>
                <c:pt idx="1237">
                  <c:v>58</c:v>
                </c:pt>
                <c:pt idx="1238">
                  <c:v>37</c:v>
                </c:pt>
                <c:pt idx="1239">
                  <c:v>25</c:v>
                </c:pt>
                <c:pt idx="1240">
                  <c:v>52</c:v>
                </c:pt>
                <c:pt idx="1241">
                  <c:v>64</c:v>
                </c:pt>
                <c:pt idx="1242">
                  <c:v>22</c:v>
                </c:pt>
                <c:pt idx="1243">
                  <c:v>28</c:v>
                </c:pt>
                <c:pt idx="1244">
                  <c:v>18</c:v>
                </c:pt>
                <c:pt idx="1245">
                  <c:v>28</c:v>
                </c:pt>
                <c:pt idx="1246">
                  <c:v>45</c:v>
                </c:pt>
                <c:pt idx="1247">
                  <c:v>33</c:v>
                </c:pt>
                <c:pt idx="1248">
                  <c:v>18</c:v>
                </c:pt>
                <c:pt idx="1249">
                  <c:v>32</c:v>
                </c:pt>
                <c:pt idx="1250">
                  <c:v>24</c:v>
                </c:pt>
                <c:pt idx="1251">
                  <c:v>19</c:v>
                </c:pt>
                <c:pt idx="1252">
                  <c:v>20</c:v>
                </c:pt>
                <c:pt idx="1253">
                  <c:v>40</c:v>
                </c:pt>
                <c:pt idx="1254">
                  <c:v>34</c:v>
                </c:pt>
                <c:pt idx="1255">
                  <c:v>42</c:v>
                </c:pt>
                <c:pt idx="1256">
                  <c:v>51</c:v>
                </c:pt>
                <c:pt idx="1257">
                  <c:v>54</c:v>
                </c:pt>
                <c:pt idx="1258">
                  <c:v>55</c:v>
                </c:pt>
                <c:pt idx="1259">
                  <c:v>52</c:v>
                </c:pt>
                <c:pt idx="1260">
                  <c:v>32</c:v>
                </c:pt>
                <c:pt idx="1261">
                  <c:v>28</c:v>
                </c:pt>
                <c:pt idx="1262">
                  <c:v>41</c:v>
                </c:pt>
                <c:pt idx="1263">
                  <c:v>43</c:v>
                </c:pt>
                <c:pt idx="1264">
                  <c:v>49</c:v>
                </c:pt>
                <c:pt idx="1265">
                  <c:v>64</c:v>
                </c:pt>
                <c:pt idx="1266">
                  <c:v>55</c:v>
                </c:pt>
                <c:pt idx="1267">
                  <c:v>24</c:v>
                </c:pt>
                <c:pt idx="1268">
                  <c:v>20</c:v>
                </c:pt>
                <c:pt idx="1269">
                  <c:v>45</c:v>
                </c:pt>
                <c:pt idx="1270">
                  <c:v>26</c:v>
                </c:pt>
                <c:pt idx="1271">
                  <c:v>25</c:v>
                </c:pt>
                <c:pt idx="1272">
                  <c:v>43</c:v>
                </c:pt>
                <c:pt idx="1273">
                  <c:v>35</c:v>
                </c:pt>
                <c:pt idx="1274">
                  <c:v>26</c:v>
                </c:pt>
                <c:pt idx="1275">
                  <c:v>57</c:v>
                </c:pt>
                <c:pt idx="1276">
                  <c:v>22</c:v>
                </c:pt>
                <c:pt idx="1277">
                  <c:v>32</c:v>
                </c:pt>
                <c:pt idx="1278">
                  <c:v>39</c:v>
                </c:pt>
                <c:pt idx="1279">
                  <c:v>25</c:v>
                </c:pt>
                <c:pt idx="1280">
                  <c:v>48</c:v>
                </c:pt>
                <c:pt idx="1281">
                  <c:v>47</c:v>
                </c:pt>
                <c:pt idx="1282">
                  <c:v>18</c:v>
                </c:pt>
                <c:pt idx="1283">
                  <c:v>18</c:v>
                </c:pt>
                <c:pt idx="1284">
                  <c:v>61</c:v>
                </c:pt>
                <c:pt idx="1285">
                  <c:v>47</c:v>
                </c:pt>
                <c:pt idx="1286">
                  <c:v>28</c:v>
                </c:pt>
                <c:pt idx="1287">
                  <c:v>36</c:v>
                </c:pt>
                <c:pt idx="1288">
                  <c:v>20</c:v>
                </c:pt>
                <c:pt idx="1289">
                  <c:v>44</c:v>
                </c:pt>
                <c:pt idx="1290">
                  <c:v>38</c:v>
                </c:pt>
                <c:pt idx="1291">
                  <c:v>19</c:v>
                </c:pt>
                <c:pt idx="1292">
                  <c:v>21</c:v>
                </c:pt>
                <c:pt idx="1293">
                  <c:v>46</c:v>
                </c:pt>
                <c:pt idx="1294">
                  <c:v>58</c:v>
                </c:pt>
                <c:pt idx="1295">
                  <c:v>20</c:v>
                </c:pt>
                <c:pt idx="1296">
                  <c:v>18</c:v>
                </c:pt>
                <c:pt idx="1297">
                  <c:v>28</c:v>
                </c:pt>
                <c:pt idx="1298">
                  <c:v>33</c:v>
                </c:pt>
                <c:pt idx="1299">
                  <c:v>19</c:v>
                </c:pt>
                <c:pt idx="1300">
                  <c:v>45</c:v>
                </c:pt>
                <c:pt idx="1301">
                  <c:v>62</c:v>
                </c:pt>
                <c:pt idx="1302">
                  <c:v>25</c:v>
                </c:pt>
                <c:pt idx="1303">
                  <c:v>43</c:v>
                </c:pt>
                <c:pt idx="1304">
                  <c:v>42</c:v>
                </c:pt>
                <c:pt idx="1305">
                  <c:v>24</c:v>
                </c:pt>
                <c:pt idx="1306">
                  <c:v>29</c:v>
                </c:pt>
                <c:pt idx="1307">
                  <c:v>32</c:v>
                </c:pt>
                <c:pt idx="1308">
                  <c:v>25</c:v>
                </c:pt>
                <c:pt idx="1309">
                  <c:v>41</c:v>
                </c:pt>
                <c:pt idx="1310">
                  <c:v>42</c:v>
                </c:pt>
                <c:pt idx="1311">
                  <c:v>33</c:v>
                </c:pt>
                <c:pt idx="1312">
                  <c:v>34</c:v>
                </c:pt>
                <c:pt idx="1313">
                  <c:v>19</c:v>
                </c:pt>
                <c:pt idx="1314">
                  <c:v>30</c:v>
                </c:pt>
                <c:pt idx="1315">
                  <c:v>18</c:v>
                </c:pt>
                <c:pt idx="1316">
                  <c:v>19</c:v>
                </c:pt>
                <c:pt idx="1317">
                  <c:v>18</c:v>
                </c:pt>
                <c:pt idx="1318">
                  <c:v>35</c:v>
                </c:pt>
                <c:pt idx="1319">
                  <c:v>39</c:v>
                </c:pt>
                <c:pt idx="1320">
                  <c:v>31</c:v>
                </c:pt>
                <c:pt idx="1321">
                  <c:v>62</c:v>
                </c:pt>
                <c:pt idx="1322">
                  <c:v>62</c:v>
                </c:pt>
                <c:pt idx="1323">
                  <c:v>42</c:v>
                </c:pt>
                <c:pt idx="1324">
                  <c:v>31</c:v>
                </c:pt>
                <c:pt idx="1325">
                  <c:v>61</c:v>
                </c:pt>
                <c:pt idx="1326">
                  <c:v>42</c:v>
                </c:pt>
                <c:pt idx="1327">
                  <c:v>51</c:v>
                </c:pt>
                <c:pt idx="1328">
                  <c:v>23</c:v>
                </c:pt>
                <c:pt idx="1329">
                  <c:v>52</c:v>
                </c:pt>
                <c:pt idx="1330">
                  <c:v>57</c:v>
                </c:pt>
                <c:pt idx="1331">
                  <c:v>23</c:v>
                </c:pt>
                <c:pt idx="1332">
                  <c:v>52</c:v>
                </c:pt>
                <c:pt idx="1333">
                  <c:v>50</c:v>
                </c:pt>
                <c:pt idx="1334">
                  <c:v>18</c:v>
                </c:pt>
                <c:pt idx="1335">
                  <c:v>18</c:v>
                </c:pt>
                <c:pt idx="1336">
                  <c:v>21</c:v>
                </c:pt>
                <c:pt idx="1337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01-2D4E-9FB6-0D9295E3B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452751"/>
        <c:axId val="2046596463"/>
      </c:scatterChart>
      <c:valAx>
        <c:axId val="2076452751"/>
        <c:scaling>
          <c:orientation val="minMax"/>
        </c:scaling>
        <c:delete val="0"/>
        <c:axPos val="b"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46596463"/>
        <c:crosses val="autoZero"/>
        <c:crossBetween val="midCat"/>
      </c:valAx>
      <c:valAx>
        <c:axId val="2046596463"/>
        <c:scaling>
          <c:orientation val="minMax"/>
        </c:scaling>
        <c:delete val="0"/>
        <c:axPos val="l"/>
        <c:majorGridlines>
          <c:spPr>
            <a:ln>
              <a:solidFill>
                <a:srgbClr val="EEEEFF"/>
              </a:solidFill>
            </a:ln>
          </c:spPr>
        </c:majorGridlines>
        <c:numFmt formatCode="0.000" sourceLinked="0"/>
        <c:majorTickMark val="out"/>
        <c:minorTickMark val="none"/>
        <c:tickLblPos val="nextTo"/>
        <c:crossAx val="207645275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/>
            </a:pPr>
            <a:r>
              <a:rPr lang="en-GB" sz="1000" b="0"/>
              <a:t>bmi vs age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3"/>
            <c:spPr>
              <a:ln/>
            </c:spPr>
          </c:marker>
          <c:xVal>
            <c:numRef>
              <c:f>insurance!$A$2:$A$1339</c:f>
              <c:numCache>
                <c:formatCode>General</c:formatCode>
                <c:ptCount val="1338"/>
                <c:pt idx="0">
                  <c:v>19</c:v>
                </c:pt>
                <c:pt idx="1">
                  <c:v>18</c:v>
                </c:pt>
                <c:pt idx="2">
                  <c:v>28</c:v>
                </c:pt>
                <c:pt idx="3">
                  <c:v>33</c:v>
                </c:pt>
                <c:pt idx="4">
                  <c:v>32</c:v>
                </c:pt>
                <c:pt idx="5">
                  <c:v>31</c:v>
                </c:pt>
                <c:pt idx="6">
                  <c:v>46</c:v>
                </c:pt>
                <c:pt idx="7">
                  <c:v>37</c:v>
                </c:pt>
                <c:pt idx="8">
                  <c:v>37</c:v>
                </c:pt>
                <c:pt idx="9">
                  <c:v>60</c:v>
                </c:pt>
                <c:pt idx="10">
                  <c:v>25</c:v>
                </c:pt>
                <c:pt idx="11">
                  <c:v>62</c:v>
                </c:pt>
                <c:pt idx="12">
                  <c:v>23</c:v>
                </c:pt>
                <c:pt idx="13">
                  <c:v>56</c:v>
                </c:pt>
                <c:pt idx="14">
                  <c:v>27</c:v>
                </c:pt>
                <c:pt idx="15">
                  <c:v>19</c:v>
                </c:pt>
                <c:pt idx="16">
                  <c:v>52</c:v>
                </c:pt>
                <c:pt idx="17">
                  <c:v>23</c:v>
                </c:pt>
                <c:pt idx="18">
                  <c:v>56</c:v>
                </c:pt>
                <c:pt idx="19">
                  <c:v>30</c:v>
                </c:pt>
                <c:pt idx="20">
                  <c:v>60</c:v>
                </c:pt>
                <c:pt idx="21">
                  <c:v>30</c:v>
                </c:pt>
                <c:pt idx="22">
                  <c:v>18</c:v>
                </c:pt>
                <c:pt idx="23">
                  <c:v>34</c:v>
                </c:pt>
                <c:pt idx="24">
                  <c:v>37</c:v>
                </c:pt>
                <c:pt idx="25">
                  <c:v>59</c:v>
                </c:pt>
                <c:pt idx="26">
                  <c:v>63</c:v>
                </c:pt>
                <c:pt idx="27">
                  <c:v>55</c:v>
                </c:pt>
                <c:pt idx="28">
                  <c:v>23</c:v>
                </c:pt>
                <c:pt idx="29">
                  <c:v>31</c:v>
                </c:pt>
                <c:pt idx="30">
                  <c:v>22</c:v>
                </c:pt>
                <c:pt idx="31">
                  <c:v>18</c:v>
                </c:pt>
                <c:pt idx="32">
                  <c:v>19</c:v>
                </c:pt>
                <c:pt idx="33">
                  <c:v>63</c:v>
                </c:pt>
                <c:pt idx="34">
                  <c:v>28</c:v>
                </c:pt>
                <c:pt idx="35">
                  <c:v>19</c:v>
                </c:pt>
                <c:pt idx="36">
                  <c:v>62</c:v>
                </c:pt>
                <c:pt idx="37">
                  <c:v>26</c:v>
                </c:pt>
                <c:pt idx="38">
                  <c:v>35</c:v>
                </c:pt>
                <c:pt idx="39">
                  <c:v>60</c:v>
                </c:pt>
                <c:pt idx="40">
                  <c:v>24</c:v>
                </c:pt>
                <c:pt idx="41">
                  <c:v>31</c:v>
                </c:pt>
                <c:pt idx="42">
                  <c:v>41</c:v>
                </c:pt>
                <c:pt idx="43">
                  <c:v>37</c:v>
                </c:pt>
                <c:pt idx="44">
                  <c:v>38</c:v>
                </c:pt>
                <c:pt idx="45">
                  <c:v>55</c:v>
                </c:pt>
                <c:pt idx="46">
                  <c:v>18</c:v>
                </c:pt>
                <c:pt idx="47">
                  <c:v>28</c:v>
                </c:pt>
                <c:pt idx="48">
                  <c:v>60</c:v>
                </c:pt>
                <c:pt idx="49">
                  <c:v>36</c:v>
                </c:pt>
                <c:pt idx="50">
                  <c:v>18</c:v>
                </c:pt>
                <c:pt idx="51">
                  <c:v>21</c:v>
                </c:pt>
                <c:pt idx="52">
                  <c:v>48</c:v>
                </c:pt>
                <c:pt idx="53">
                  <c:v>36</c:v>
                </c:pt>
                <c:pt idx="54">
                  <c:v>40</c:v>
                </c:pt>
                <c:pt idx="55">
                  <c:v>58</c:v>
                </c:pt>
                <c:pt idx="56">
                  <c:v>58</c:v>
                </c:pt>
                <c:pt idx="57">
                  <c:v>18</c:v>
                </c:pt>
                <c:pt idx="58">
                  <c:v>53</c:v>
                </c:pt>
                <c:pt idx="59">
                  <c:v>34</c:v>
                </c:pt>
                <c:pt idx="60">
                  <c:v>43</c:v>
                </c:pt>
                <c:pt idx="61">
                  <c:v>25</c:v>
                </c:pt>
                <c:pt idx="62">
                  <c:v>64</c:v>
                </c:pt>
                <c:pt idx="63">
                  <c:v>28</c:v>
                </c:pt>
                <c:pt idx="64">
                  <c:v>20</c:v>
                </c:pt>
                <c:pt idx="65">
                  <c:v>19</c:v>
                </c:pt>
                <c:pt idx="66">
                  <c:v>61</c:v>
                </c:pt>
                <c:pt idx="67">
                  <c:v>40</c:v>
                </c:pt>
                <c:pt idx="68">
                  <c:v>40</c:v>
                </c:pt>
                <c:pt idx="69">
                  <c:v>28</c:v>
                </c:pt>
                <c:pt idx="70">
                  <c:v>27</c:v>
                </c:pt>
                <c:pt idx="71">
                  <c:v>31</c:v>
                </c:pt>
                <c:pt idx="72">
                  <c:v>53</c:v>
                </c:pt>
                <c:pt idx="73">
                  <c:v>58</c:v>
                </c:pt>
                <c:pt idx="74">
                  <c:v>44</c:v>
                </c:pt>
                <c:pt idx="75">
                  <c:v>57</c:v>
                </c:pt>
                <c:pt idx="76">
                  <c:v>29</c:v>
                </c:pt>
                <c:pt idx="77">
                  <c:v>21</c:v>
                </c:pt>
                <c:pt idx="78">
                  <c:v>22</c:v>
                </c:pt>
                <c:pt idx="79">
                  <c:v>41</c:v>
                </c:pt>
                <c:pt idx="80">
                  <c:v>31</c:v>
                </c:pt>
                <c:pt idx="81">
                  <c:v>45</c:v>
                </c:pt>
                <c:pt idx="82">
                  <c:v>22</c:v>
                </c:pt>
                <c:pt idx="83">
                  <c:v>48</c:v>
                </c:pt>
                <c:pt idx="84">
                  <c:v>37</c:v>
                </c:pt>
                <c:pt idx="85">
                  <c:v>45</c:v>
                </c:pt>
                <c:pt idx="86">
                  <c:v>57</c:v>
                </c:pt>
                <c:pt idx="87">
                  <c:v>56</c:v>
                </c:pt>
                <c:pt idx="88">
                  <c:v>46</c:v>
                </c:pt>
                <c:pt idx="89">
                  <c:v>55</c:v>
                </c:pt>
                <c:pt idx="90">
                  <c:v>21</c:v>
                </c:pt>
                <c:pt idx="91">
                  <c:v>53</c:v>
                </c:pt>
                <c:pt idx="92">
                  <c:v>59</c:v>
                </c:pt>
                <c:pt idx="93">
                  <c:v>35</c:v>
                </c:pt>
                <c:pt idx="94">
                  <c:v>64</c:v>
                </c:pt>
                <c:pt idx="95">
                  <c:v>28</c:v>
                </c:pt>
                <c:pt idx="96">
                  <c:v>54</c:v>
                </c:pt>
                <c:pt idx="97">
                  <c:v>55</c:v>
                </c:pt>
                <c:pt idx="98">
                  <c:v>56</c:v>
                </c:pt>
                <c:pt idx="99">
                  <c:v>38</c:v>
                </c:pt>
                <c:pt idx="100">
                  <c:v>41</c:v>
                </c:pt>
                <c:pt idx="101">
                  <c:v>30</c:v>
                </c:pt>
                <c:pt idx="102">
                  <c:v>18</c:v>
                </c:pt>
                <c:pt idx="103">
                  <c:v>61</c:v>
                </c:pt>
                <c:pt idx="104">
                  <c:v>34</c:v>
                </c:pt>
                <c:pt idx="105">
                  <c:v>20</c:v>
                </c:pt>
                <c:pt idx="106">
                  <c:v>19</c:v>
                </c:pt>
                <c:pt idx="107">
                  <c:v>26</c:v>
                </c:pt>
                <c:pt idx="108">
                  <c:v>29</c:v>
                </c:pt>
                <c:pt idx="109">
                  <c:v>63</c:v>
                </c:pt>
                <c:pt idx="110">
                  <c:v>54</c:v>
                </c:pt>
                <c:pt idx="111">
                  <c:v>55</c:v>
                </c:pt>
                <c:pt idx="112">
                  <c:v>37</c:v>
                </c:pt>
                <c:pt idx="113">
                  <c:v>21</c:v>
                </c:pt>
                <c:pt idx="114">
                  <c:v>52</c:v>
                </c:pt>
                <c:pt idx="115">
                  <c:v>60</c:v>
                </c:pt>
                <c:pt idx="116">
                  <c:v>58</c:v>
                </c:pt>
                <c:pt idx="117">
                  <c:v>29</c:v>
                </c:pt>
                <c:pt idx="118">
                  <c:v>49</c:v>
                </c:pt>
                <c:pt idx="119">
                  <c:v>37</c:v>
                </c:pt>
                <c:pt idx="120">
                  <c:v>44</c:v>
                </c:pt>
                <c:pt idx="121">
                  <c:v>18</c:v>
                </c:pt>
                <c:pt idx="122">
                  <c:v>20</c:v>
                </c:pt>
                <c:pt idx="123">
                  <c:v>44</c:v>
                </c:pt>
                <c:pt idx="124">
                  <c:v>47</c:v>
                </c:pt>
                <c:pt idx="125">
                  <c:v>26</c:v>
                </c:pt>
                <c:pt idx="126">
                  <c:v>19</c:v>
                </c:pt>
                <c:pt idx="127">
                  <c:v>52</c:v>
                </c:pt>
                <c:pt idx="128">
                  <c:v>32</c:v>
                </c:pt>
                <c:pt idx="129">
                  <c:v>38</c:v>
                </c:pt>
                <c:pt idx="130">
                  <c:v>59</c:v>
                </c:pt>
                <c:pt idx="131">
                  <c:v>61</c:v>
                </c:pt>
                <c:pt idx="132">
                  <c:v>53</c:v>
                </c:pt>
                <c:pt idx="133">
                  <c:v>19</c:v>
                </c:pt>
                <c:pt idx="134">
                  <c:v>20</c:v>
                </c:pt>
                <c:pt idx="135">
                  <c:v>22</c:v>
                </c:pt>
                <c:pt idx="136">
                  <c:v>19</c:v>
                </c:pt>
                <c:pt idx="137">
                  <c:v>22</c:v>
                </c:pt>
                <c:pt idx="138">
                  <c:v>54</c:v>
                </c:pt>
                <c:pt idx="139">
                  <c:v>22</c:v>
                </c:pt>
                <c:pt idx="140">
                  <c:v>34</c:v>
                </c:pt>
                <c:pt idx="141">
                  <c:v>26</c:v>
                </c:pt>
                <c:pt idx="142">
                  <c:v>34</c:v>
                </c:pt>
                <c:pt idx="143">
                  <c:v>29</c:v>
                </c:pt>
                <c:pt idx="144">
                  <c:v>30</c:v>
                </c:pt>
                <c:pt idx="145">
                  <c:v>29</c:v>
                </c:pt>
                <c:pt idx="146">
                  <c:v>46</c:v>
                </c:pt>
                <c:pt idx="147">
                  <c:v>51</c:v>
                </c:pt>
                <c:pt idx="148">
                  <c:v>53</c:v>
                </c:pt>
                <c:pt idx="149">
                  <c:v>19</c:v>
                </c:pt>
                <c:pt idx="150">
                  <c:v>35</c:v>
                </c:pt>
                <c:pt idx="151">
                  <c:v>48</c:v>
                </c:pt>
                <c:pt idx="152">
                  <c:v>32</c:v>
                </c:pt>
                <c:pt idx="153">
                  <c:v>42</c:v>
                </c:pt>
                <c:pt idx="154">
                  <c:v>40</c:v>
                </c:pt>
                <c:pt idx="155">
                  <c:v>44</c:v>
                </c:pt>
                <c:pt idx="156">
                  <c:v>48</c:v>
                </c:pt>
                <c:pt idx="157">
                  <c:v>18</c:v>
                </c:pt>
                <c:pt idx="158">
                  <c:v>30</c:v>
                </c:pt>
                <c:pt idx="159">
                  <c:v>50</c:v>
                </c:pt>
                <c:pt idx="160">
                  <c:v>42</c:v>
                </c:pt>
                <c:pt idx="161">
                  <c:v>18</c:v>
                </c:pt>
                <c:pt idx="162">
                  <c:v>54</c:v>
                </c:pt>
                <c:pt idx="163">
                  <c:v>32</c:v>
                </c:pt>
                <c:pt idx="164">
                  <c:v>37</c:v>
                </c:pt>
                <c:pt idx="165">
                  <c:v>47</c:v>
                </c:pt>
                <c:pt idx="166">
                  <c:v>20</c:v>
                </c:pt>
                <c:pt idx="167">
                  <c:v>32</c:v>
                </c:pt>
                <c:pt idx="168">
                  <c:v>19</c:v>
                </c:pt>
                <c:pt idx="169">
                  <c:v>27</c:v>
                </c:pt>
                <c:pt idx="170">
                  <c:v>63</c:v>
                </c:pt>
                <c:pt idx="171">
                  <c:v>49</c:v>
                </c:pt>
                <c:pt idx="172">
                  <c:v>18</c:v>
                </c:pt>
                <c:pt idx="173">
                  <c:v>35</c:v>
                </c:pt>
                <c:pt idx="174">
                  <c:v>24</c:v>
                </c:pt>
                <c:pt idx="175">
                  <c:v>63</c:v>
                </c:pt>
                <c:pt idx="176">
                  <c:v>38</c:v>
                </c:pt>
                <c:pt idx="177">
                  <c:v>54</c:v>
                </c:pt>
                <c:pt idx="178">
                  <c:v>46</c:v>
                </c:pt>
                <c:pt idx="179">
                  <c:v>41</c:v>
                </c:pt>
                <c:pt idx="180">
                  <c:v>58</c:v>
                </c:pt>
                <c:pt idx="181">
                  <c:v>18</c:v>
                </c:pt>
                <c:pt idx="182">
                  <c:v>22</c:v>
                </c:pt>
                <c:pt idx="183">
                  <c:v>44</c:v>
                </c:pt>
                <c:pt idx="184">
                  <c:v>44</c:v>
                </c:pt>
                <c:pt idx="185">
                  <c:v>36</c:v>
                </c:pt>
                <c:pt idx="186">
                  <c:v>26</c:v>
                </c:pt>
                <c:pt idx="187">
                  <c:v>30</c:v>
                </c:pt>
                <c:pt idx="188">
                  <c:v>41</c:v>
                </c:pt>
                <c:pt idx="189">
                  <c:v>29</c:v>
                </c:pt>
                <c:pt idx="190">
                  <c:v>61</c:v>
                </c:pt>
                <c:pt idx="191">
                  <c:v>36</c:v>
                </c:pt>
                <c:pt idx="192">
                  <c:v>25</c:v>
                </c:pt>
                <c:pt idx="193">
                  <c:v>56</c:v>
                </c:pt>
                <c:pt idx="194">
                  <c:v>18</c:v>
                </c:pt>
                <c:pt idx="195">
                  <c:v>19</c:v>
                </c:pt>
                <c:pt idx="196">
                  <c:v>39</c:v>
                </c:pt>
                <c:pt idx="197">
                  <c:v>45</c:v>
                </c:pt>
                <c:pt idx="198">
                  <c:v>51</c:v>
                </c:pt>
                <c:pt idx="199">
                  <c:v>64</c:v>
                </c:pt>
                <c:pt idx="200">
                  <c:v>19</c:v>
                </c:pt>
                <c:pt idx="201">
                  <c:v>48</c:v>
                </c:pt>
                <c:pt idx="202">
                  <c:v>60</c:v>
                </c:pt>
                <c:pt idx="203">
                  <c:v>27</c:v>
                </c:pt>
                <c:pt idx="204">
                  <c:v>46</c:v>
                </c:pt>
                <c:pt idx="205">
                  <c:v>28</c:v>
                </c:pt>
                <c:pt idx="206">
                  <c:v>59</c:v>
                </c:pt>
                <c:pt idx="207">
                  <c:v>35</c:v>
                </c:pt>
                <c:pt idx="208">
                  <c:v>63</c:v>
                </c:pt>
                <c:pt idx="209">
                  <c:v>40</c:v>
                </c:pt>
                <c:pt idx="210">
                  <c:v>20</c:v>
                </c:pt>
                <c:pt idx="211">
                  <c:v>40</c:v>
                </c:pt>
                <c:pt idx="212">
                  <c:v>24</c:v>
                </c:pt>
                <c:pt idx="213">
                  <c:v>34</c:v>
                </c:pt>
                <c:pt idx="214">
                  <c:v>45</c:v>
                </c:pt>
                <c:pt idx="215">
                  <c:v>41</c:v>
                </c:pt>
                <c:pt idx="216">
                  <c:v>53</c:v>
                </c:pt>
                <c:pt idx="217">
                  <c:v>27</c:v>
                </c:pt>
                <c:pt idx="218">
                  <c:v>26</c:v>
                </c:pt>
                <c:pt idx="219">
                  <c:v>24</c:v>
                </c:pt>
                <c:pt idx="220">
                  <c:v>34</c:v>
                </c:pt>
                <c:pt idx="221">
                  <c:v>53</c:v>
                </c:pt>
                <c:pt idx="222">
                  <c:v>32</c:v>
                </c:pt>
                <c:pt idx="223">
                  <c:v>19</c:v>
                </c:pt>
                <c:pt idx="224">
                  <c:v>42</c:v>
                </c:pt>
                <c:pt idx="225">
                  <c:v>55</c:v>
                </c:pt>
                <c:pt idx="226">
                  <c:v>28</c:v>
                </c:pt>
                <c:pt idx="227">
                  <c:v>58</c:v>
                </c:pt>
                <c:pt idx="228">
                  <c:v>41</c:v>
                </c:pt>
                <c:pt idx="229">
                  <c:v>47</c:v>
                </c:pt>
                <c:pt idx="230">
                  <c:v>42</c:v>
                </c:pt>
                <c:pt idx="231">
                  <c:v>59</c:v>
                </c:pt>
                <c:pt idx="232">
                  <c:v>19</c:v>
                </c:pt>
                <c:pt idx="233">
                  <c:v>59</c:v>
                </c:pt>
                <c:pt idx="234">
                  <c:v>39</c:v>
                </c:pt>
                <c:pt idx="235">
                  <c:v>40</c:v>
                </c:pt>
                <c:pt idx="236">
                  <c:v>18</c:v>
                </c:pt>
                <c:pt idx="237">
                  <c:v>31</c:v>
                </c:pt>
                <c:pt idx="238">
                  <c:v>19</c:v>
                </c:pt>
                <c:pt idx="239">
                  <c:v>44</c:v>
                </c:pt>
                <c:pt idx="240">
                  <c:v>23</c:v>
                </c:pt>
                <c:pt idx="241">
                  <c:v>33</c:v>
                </c:pt>
                <c:pt idx="242">
                  <c:v>55</c:v>
                </c:pt>
                <c:pt idx="243">
                  <c:v>40</c:v>
                </c:pt>
                <c:pt idx="244">
                  <c:v>63</c:v>
                </c:pt>
                <c:pt idx="245">
                  <c:v>54</c:v>
                </c:pt>
                <c:pt idx="246">
                  <c:v>60</c:v>
                </c:pt>
                <c:pt idx="247">
                  <c:v>24</c:v>
                </c:pt>
                <c:pt idx="248">
                  <c:v>19</c:v>
                </c:pt>
                <c:pt idx="249">
                  <c:v>29</c:v>
                </c:pt>
                <c:pt idx="250">
                  <c:v>18</c:v>
                </c:pt>
                <c:pt idx="251">
                  <c:v>63</c:v>
                </c:pt>
                <c:pt idx="252">
                  <c:v>54</c:v>
                </c:pt>
                <c:pt idx="253">
                  <c:v>27</c:v>
                </c:pt>
                <c:pt idx="254">
                  <c:v>50</c:v>
                </c:pt>
                <c:pt idx="255">
                  <c:v>55</c:v>
                </c:pt>
                <c:pt idx="256">
                  <c:v>56</c:v>
                </c:pt>
                <c:pt idx="257">
                  <c:v>38</c:v>
                </c:pt>
                <c:pt idx="258">
                  <c:v>51</c:v>
                </c:pt>
                <c:pt idx="259">
                  <c:v>19</c:v>
                </c:pt>
                <c:pt idx="260">
                  <c:v>58</c:v>
                </c:pt>
                <c:pt idx="261">
                  <c:v>20</c:v>
                </c:pt>
                <c:pt idx="262">
                  <c:v>52</c:v>
                </c:pt>
                <c:pt idx="263">
                  <c:v>19</c:v>
                </c:pt>
                <c:pt idx="264">
                  <c:v>53</c:v>
                </c:pt>
                <c:pt idx="265">
                  <c:v>46</c:v>
                </c:pt>
                <c:pt idx="266">
                  <c:v>40</c:v>
                </c:pt>
                <c:pt idx="267">
                  <c:v>59</c:v>
                </c:pt>
                <c:pt idx="268">
                  <c:v>45</c:v>
                </c:pt>
                <c:pt idx="269">
                  <c:v>49</c:v>
                </c:pt>
                <c:pt idx="270">
                  <c:v>18</c:v>
                </c:pt>
                <c:pt idx="271">
                  <c:v>50</c:v>
                </c:pt>
                <c:pt idx="272">
                  <c:v>41</c:v>
                </c:pt>
                <c:pt idx="273">
                  <c:v>50</c:v>
                </c:pt>
                <c:pt idx="274">
                  <c:v>25</c:v>
                </c:pt>
                <c:pt idx="275">
                  <c:v>47</c:v>
                </c:pt>
                <c:pt idx="276">
                  <c:v>19</c:v>
                </c:pt>
                <c:pt idx="277">
                  <c:v>22</c:v>
                </c:pt>
                <c:pt idx="278">
                  <c:v>59</c:v>
                </c:pt>
                <c:pt idx="279">
                  <c:v>51</c:v>
                </c:pt>
                <c:pt idx="280">
                  <c:v>40</c:v>
                </c:pt>
                <c:pt idx="281">
                  <c:v>54</c:v>
                </c:pt>
                <c:pt idx="282">
                  <c:v>30</c:v>
                </c:pt>
                <c:pt idx="283">
                  <c:v>55</c:v>
                </c:pt>
                <c:pt idx="284">
                  <c:v>52</c:v>
                </c:pt>
                <c:pt idx="285">
                  <c:v>46</c:v>
                </c:pt>
                <c:pt idx="286">
                  <c:v>46</c:v>
                </c:pt>
                <c:pt idx="287">
                  <c:v>63</c:v>
                </c:pt>
                <c:pt idx="288">
                  <c:v>59</c:v>
                </c:pt>
                <c:pt idx="289">
                  <c:v>52</c:v>
                </c:pt>
                <c:pt idx="290">
                  <c:v>28</c:v>
                </c:pt>
                <c:pt idx="291">
                  <c:v>29</c:v>
                </c:pt>
                <c:pt idx="292">
                  <c:v>25</c:v>
                </c:pt>
                <c:pt idx="293">
                  <c:v>22</c:v>
                </c:pt>
                <c:pt idx="294">
                  <c:v>25</c:v>
                </c:pt>
                <c:pt idx="295">
                  <c:v>18</c:v>
                </c:pt>
                <c:pt idx="296">
                  <c:v>19</c:v>
                </c:pt>
                <c:pt idx="297">
                  <c:v>47</c:v>
                </c:pt>
                <c:pt idx="298">
                  <c:v>31</c:v>
                </c:pt>
                <c:pt idx="299">
                  <c:v>48</c:v>
                </c:pt>
                <c:pt idx="300">
                  <c:v>36</c:v>
                </c:pt>
                <c:pt idx="301">
                  <c:v>53</c:v>
                </c:pt>
                <c:pt idx="302">
                  <c:v>56</c:v>
                </c:pt>
                <c:pt idx="303">
                  <c:v>28</c:v>
                </c:pt>
                <c:pt idx="304">
                  <c:v>57</c:v>
                </c:pt>
                <c:pt idx="305">
                  <c:v>29</c:v>
                </c:pt>
                <c:pt idx="306">
                  <c:v>28</c:v>
                </c:pt>
                <c:pt idx="307">
                  <c:v>30</c:v>
                </c:pt>
                <c:pt idx="308">
                  <c:v>58</c:v>
                </c:pt>
                <c:pt idx="309">
                  <c:v>41</c:v>
                </c:pt>
                <c:pt idx="310">
                  <c:v>50</c:v>
                </c:pt>
                <c:pt idx="311">
                  <c:v>19</c:v>
                </c:pt>
                <c:pt idx="312">
                  <c:v>43</c:v>
                </c:pt>
                <c:pt idx="313">
                  <c:v>49</c:v>
                </c:pt>
                <c:pt idx="314">
                  <c:v>27</c:v>
                </c:pt>
                <c:pt idx="315">
                  <c:v>52</c:v>
                </c:pt>
                <c:pt idx="316">
                  <c:v>50</c:v>
                </c:pt>
                <c:pt idx="317">
                  <c:v>54</c:v>
                </c:pt>
                <c:pt idx="318">
                  <c:v>44</c:v>
                </c:pt>
                <c:pt idx="319">
                  <c:v>32</c:v>
                </c:pt>
                <c:pt idx="320">
                  <c:v>34</c:v>
                </c:pt>
                <c:pt idx="321">
                  <c:v>26</c:v>
                </c:pt>
                <c:pt idx="322">
                  <c:v>34</c:v>
                </c:pt>
                <c:pt idx="323">
                  <c:v>57</c:v>
                </c:pt>
                <c:pt idx="324">
                  <c:v>29</c:v>
                </c:pt>
                <c:pt idx="325">
                  <c:v>40</c:v>
                </c:pt>
                <c:pt idx="326">
                  <c:v>27</c:v>
                </c:pt>
                <c:pt idx="327">
                  <c:v>45</c:v>
                </c:pt>
                <c:pt idx="328">
                  <c:v>64</c:v>
                </c:pt>
                <c:pt idx="329">
                  <c:v>52</c:v>
                </c:pt>
                <c:pt idx="330">
                  <c:v>61</c:v>
                </c:pt>
                <c:pt idx="331">
                  <c:v>52</c:v>
                </c:pt>
                <c:pt idx="332">
                  <c:v>61</c:v>
                </c:pt>
                <c:pt idx="333">
                  <c:v>56</c:v>
                </c:pt>
                <c:pt idx="334">
                  <c:v>43</c:v>
                </c:pt>
                <c:pt idx="335">
                  <c:v>64</c:v>
                </c:pt>
                <c:pt idx="336">
                  <c:v>60</c:v>
                </c:pt>
                <c:pt idx="337">
                  <c:v>62</c:v>
                </c:pt>
                <c:pt idx="338">
                  <c:v>50</c:v>
                </c:pt>
                <c:pt idx="339">
                  <c:v>46</c:v>
                </c:pt>
                <c:pt idx="340">
                  <c:v>24</c:v>
                </c:pt>
                <c:pt idx="341">
                  <c:v>62</c:v>
                </c:pt>
                <c:pt idx="342">
                  <c:v>60</c:v>
                </c:pt>
                <c:pt idx="343">
                  <c:v>63</c:v>
                </c:pt>
                <c:pt idx="344">
                  <c:v>49</c:v>
                </c:pt>
                <c:pt idx="345">
                  <c:v>34</c:v>
                </c:pt>
                <c:pt idx="346">
                  <c:v>33</c:v>
                </c:pt>
                <c:pt idx="347">
                  <c:v>46</c:v>
                </c:pt>
                <c:pt idx="348">
                  <c:v>36</c:v>
                </c:pt>
                <c:pt idx="349">
                  <c:v>19</c:v>
                </c:pt>
                <c:pt idx="350">
                  <c:v>57</c:v>
                </c:pt>
                <c:pt idx="351">
                  <c:v>50</c:v>
                </c:pt>
                <c:pt idx="352">
                  <c:v>30</c:v>
                </c:pt>
                <c:pt idx="353">
                  <c:v>33</c:v>
                </c:pt>
                <c:pt idx="354">
                  <c:v>18</c:v>
                </c:pt>
                <c:pt idx="355">
                  <c:v>46</c:v>
                </c:pt>
                <c:pt idx="356">
                  <c:v>46</c:v>
                </c:pt>
                <c:pt idx="357">
                  <c:v>47</c:v>
                </c:pt>
                <c:pt idx="358">
                  <c:v>23</c:v>
                </c:pt>
                <c:pt idx="359">
                  <c:v>18</c:v>
                </c:pt>
                <c:pt idx="360">
                  <c:v>48</c:v>
                </c:pt>
                <c:pt idx="361">
                  <c:v>35</c:v>
                </c:pt>
                <c:pt idx="362">
                  <c:v>19</c:v>
                </c:pt>
                <c:pt idx="363">
                  <c:v>21</c:v>
                </c:pt>
                <c:pt idx="364">
                  <c:v>21</c:v>
                </c:pt>
                <c:pt idx="365">
                  <c:v>49</c:v>
                </c:pt>
                <c:pt idx="366">
                  <c:v>56</c:v>
                </c:pt>
                <c:pt idx="367">
                  <c:v>42</c:v>
                </c:pt>
                <c:pt idx="368">
                  <c:v>44</c:v>
                </c:pt>
                <c:pt idx="369">
                  <c:v>18</c:v>
                </c:pt>
                <c:pt idx="370">
                  <c:v>61</c:v>
                </c:pt>
                <c:pt idx="371">
                  <c:v>57</c:v>
                </c:pt>
                <c:pt idx="372">
                  <c:v>42</c:v>
                </c:pt>
                <c:pt idx="373">
                  <c:v>26</c:v>
                </c:pt>
                <c:pt idx="374">
                  <c:v>20</c:v>
                </c:pt>
                <c:pt idx="375">
                  <c:v>23</c:v>
                </c:pt>
                <c:pt idx="376">
                  <c:v>39</c:v>
                </c:pt>
                <c:pt idx="377">
                  <c:v>24</c:v>
                </c:pt>
                <c:pt idx="378">
                  <c:v>64</c:v>
                </c:pt>
                <c:pt idx="379">
                  <c:v>62</c:v>
                </c:pt>
                <c:pt idx="380">
                  <c:v>27</c:v>
                </c:pt>
                <c:pt idx="381">
                  <c:v>55</c:v>
                </c:pt>
                <c:pt idx="382">
                  <c:v>55</c:v>
                </c:pt>
                <c:pt idx="383">
                  <c:v>35</c:v>
                </c:pt>
                <c:pt idx="384">
                  <c:v>44</c:v>
                </c:pt>
                <c:pt idx="385">
                  <c:v>19</c:v>
                </c:pt>
                <c:pt idx="386">
                  <c:v>58</c:v>
                </c:pt>
                <c:pt idx="387">
                  <c:v>50</c:v>
                </c:pt>
                <c:pt idx="388">
                  <c:v>26</c:v>
                </c:pt>
                <c:pt idx="389">
                  <c:v>24</c:v>
                </c:pt>
                <c:pt idx="390">
                  <c:v>48</c:v>
                </c:pt>
                <c:pt idx="391">
                  <c:v>19</c:v>
                </c:pt>
                <c:pt idx="392">
                  <c:v>48</c:v>
                </c:pt>
                <c:pt idx="393">
                  <c:v>49</c:v>
                </c:pt>
                <c:pt idx="394">
                  <c:v>46</c:v>
                </c:pt>
                <c:pt idx="395">
                  <c:v>46</c:v>
                </c:pt>
                <c:pt idx="396">
                  <c:v>43</c:v>
                </c:pt>
                <c:pt idx="397">
                  <c:v>21</c:v>
                </c:pt>
                <c:pt idx="398">
                  <c:v>64</c:v>
                </c:pt>
                <c:pt idx="399">
                  <c:v>18</c:v>
                </c:pt>
                <c:pt idx="400">
                  <c:v>51</c:v>
                </c:pt>
                <c:pt idx="401">
                  <c:v>47</c:v>
                </c:pt>
                <c:pt idx="402">
                  <c:v>64</c:v>
                </c:pt>
                <c:pt idx="403">
                  <c:v>49</c:v>
                </c:pt>
                <c:pt idx="404">
                  <c:v>31</c:v>
                </c:pt>
                <c:pt idx="405">
                  <c:v>52</c:v>
                </c:pt>
                <c:pt idx="406">
                  <c:v>33</c:v>
                </c:pt>
                <c:pt idx="407">
                  <c:v>47</c:v>
                </c:pt>
                <c:pt idx="408">
                  <c:v>38</c:v>
                </c:pt>
                <c:pt idx="409">
                  <c:v>32</c:v>
                </c:pt>
                <c:pt idx="410">
                  <c:v>19</c:v>
                </c:pt>
                <c:pt idx="411">
                  <c:v>44</c:v>
                </c:pt>
                <c:pt idx="412">
                  <c:v>26</c:v>
                </c:pt>
                <c:pt idx="413">
                  <c:v>25</c:v>
                </c:pt>
                <c:pt idx="414">
                  <c:v>19</c:v>
                </c:pt>
                <c:pt idx="415">
                  <c:v>43</c:v>
                </c:pt>
                <c:pt idx="416">
                  <c:v>52</c:v>
                </c:pt>
                <c:pt idx="417">
                  <c:v>36</c:v>
                </c:pt>
                <c:pt idx="418">
                  <c:v>64</c:v>
                </c:pt>
                <c:pt idx="419">
                  <c:v>63</c:v>
                </c:pt>
                <c:pt idx="420">
                  <c:v>64</c:v>
                </c:pt>
                <c:pt idx="421">
                  <c:v>61</c:v>
                </c:pt>
                <c:pt idx="422">
                  <c:v>40</c:v>
                </c:pt>
                <c:pt idx="423">
                  <c:v>25</c:v>
                </c:pt>
                <c:pt idx="424">
                  <c:v>48</c:v>
                </c:pt>
                <c:pt idx="425">
                  <c:v>45</c:v>
                </c:pt>
                <c:pt idx="426">
                  <c:v>38</c:v>
                </c:pt>
                <c:pt idx="427">
                  <c:v>18</c:v>
                </c:pt>
                <c:pt idx="428">
                  <c:v>21</c:v>
                </c:pt>
                <c:pt idx="429">
                  <c:v>27</c:v>
                </c:pt>
                <c:pt idx="430">
                  <c:v>19</c:v>
                </c:pt>
                <c:pt idx="431">
                  <c:v>29</c:v>
                </c:pt>
                <c:pt idx="432">
                  <c:v>42</c:v>
                </c:pt>
                <c:pt idx="433">
                  <c:v>60</c:v>
                </c:pt>
                <c:pt idx="434">
                  <c:v>31</c:v>
                </c:pt>
                <c:pt idx="435">
                  <c:v>60</c:v>
                </c:pt>
                <c:pt idx="436">
                  <c:v>22</c:v>
                </c:pt>
                <c:pt idx="437">
                  <c:v>35</c:v>
                </c:pt>
                <c:pt idx="438">
                  <c:v>52</c:v>
                </c:pt>
                <c:pt idx="439">
                  <c:v>26</c:v>
                </c:pt>
                <c:pt idx="440">
                  <c:v>31</c:v>
                </c:pt>
                <c:pt idx="441">
                  <c:v>33</c:v>
                </c:pt>
                <c:pt idx="442">
                  <c:v>18</c:v>
                </c:pt>
                <c:pt idx="443">
                  <c:v>59</c:v>
                </c:pt>
                <c:pt idx="444">
                  <c:v>56</c:v>
                </c:pt>
                <c:pt idx="445">
                  <c:v>45</c:v>
                </c:pt>
                <c:pt idx="446">
                  <c:v>60</c:v>
                </c:pt>
                <c:pt idx="447">
                  <c:v>56</c:v>
                </c:pt>
                <c:pt idx="448">
                  <c:v>40</c:v>
                </c:pt>
                <c:pt idx="449">
                  <c:v>35</c:v>
                </c:pt>
                <c:pt idx="450">
                  <c:v>39</c:v>
                </c:pt>
                <c:pt idx="451">
                  <c:v>30</c:v>
                </c:pt>
                <c:pt idx="452">
                  <c:v>24</c:v>
                </c:pt>
                <c:pt idx="453">
                  <c:v>20</c:v>
                </c:pt>
                <c:pt idx="454">
                  <c:v>32</c:v>
                </c:pt>
                <c:pt idx="455">
                  <c:v>59</c:v>
                </c:pt>
                <c:pt idx="456">
                  <c:v>55</c:v>
                </c:pt>
                <c:pt idx="457">
                  <c:v>57</c:v>
                </c:pt>
                <c:pt idx="458">
                  <c:v>56</c:v>
                </c:pt>
                <c:pt idx="459">
                  <c:v>40</c:v>
                </c:pt>
                <c:pt idx="460">
                  <c:v>49</c:v>
                </c:pt>
                <c:pt idx="461">
                  <c:v>42</c:v>
                </c:pt>
                <c:pt idx="462">
                  <c:v>62</c:v>
                </c:pt>
                <c:pt idx="463">
                  <c:v>56</c:v>
                </c:pt>
                <c:pt idx="464">
                  <c:v>19</c:v>
                </c:pt>
                <c:pt idx="465">
                  <c:v>30</c:v>
                </c:pt>
                <c:pt idx="466">
                  <c:v>60</c:v>
                </c:pt>
                <c:pt idx="467">
                  <c:v>56</c:v>
                </c:pt>
                <c:pt idx="468">
                  <c:v>28</c:v>
                </c:pt>
                <c:pt idx="469">
                  <c:v>18</c:v>
                </c:pt>
                <c:pt idx="470">
                  <c:v>27</c:v>
                </c:pt>
                <c:pt idx="471">
                  <c:v>18</c:v>
                </c:pt>
                <c:pt idx="472">
                  <c:v>19</c:v>
                </c:pt>
                <c:pt idx="473">
                  <c:v>47</c:v>
                </c:pt>
                <c:pt idx="474">
                  <c:v>54</c:v>
                </c:pt>
                <c:pt idx="475">
                  <c:v>61</c:v>
                </c:pt>
                <c:pt idx="476">
                  <c:v>24</c:v>
                </c:pt>
                <c:pt idx="477">
                  <c:v>25</c:v>
                </c:pt>
                <c:pt idx="478">
                  <c:v>21</c:v>
                </c:pt>
                <c:pt idx="479">
                  <c:v>23</c:v>
                </c:pt>
                <c:pt idx="480">
                  <c:v>63</c:v>
                </c:pt>
                <c:pt idx="481">
                  <c:v>49</c:v>
                </c:pt>
                <c:pt idx="482">
                  <c:v>18</c:v>
                </c:pt>
                <c:pt idx="483">
                  <c:v>51</c:v>
                </c:pt>
                <c:pt idx="484">
                  <c:v>48</c:v>
                </c:pt>
                <c:pt idx="485">
                  <c:v>31</c:v>
                </c:pt>
                <c:pt idx="486">
                  <c:v>54</c:v>
                </c:pt>
                <c:pt idx="487">
                  <c:v>19</c:v>
                </c:pt>
                <c:pt idx="488">
                  <c:v>44</c:v>
                </c:pt>
                <c:pt idx="489">
                  <c:v>53</c:v>
                </c:pt>
                <c:pt idx="490">
                  <c:v>19</c:v>
                </c:pt>
                <c:pt idx="491">
                  <c:v>61</c:v>
                </c:pt>
                <c:pt idx="492">
                  <c:v>18</c:v>
                </c:pt>
                <c:pt idx="493">
                  <c:v>61</c:v>
                </c:pt>
                <c:pt idx="494">
                  <c:v>21</c:v>
                </c:pt>
                <c:pt idx="495">
                  <c:v>20</c:v>
                </c:pt>
                <c:pt idx="496">
                  <c:v>31</c:v>
                </c:pt>
                <c:pt idx="497">
                  <c:v>45</c:v>
                </c:pt>
                <c:pt idx="498">
                  <c:v>44</c:v>
                </c:pt>
                <c:pt idx="499">
                  <c:v>62</c:v>
                </c:pt>
                <c:pt idx="500">
                  <c:v>29</c:v>
                </c:pt>
                <c:pt idx="501">
                  <c:v>43</c:v>
                </c:pt>
                <c:pt idx="502">
                  <c:v>51</c:v>
                </c:pt>
                <c:pt idx="503">
                  <c:v>19</c:v>
                </c:pt>
                <c:pt idx="504">
                  <c:v>38</c:v>
                </c:pt>
                <c:pt idx="505">
                  <c:v>37</c:v>
                </c:pt>
                <c:pt idx="506">
                  <c:v>22</c:v>
                </c:pt>
                <c:pt idx="507">
                  <c:v>21</c:v>
                </c:pt>
                <c:pt idx="508">
                  <c:v>24</c:v>
                </c:pt>
                <c:pt idx="509">
                  <c:v>57</c:v>
                </c:pt>
                <c:pt idx="510">
                  <c:v>56</c:v>
                </c:pt>
                <c:pt idx="511">
                  <c:v>27</c:v>
                </c:pt>
                <c:pt idx="512">
                  <c:v>51</c:v>
                </c:pt>
                <c:pt idx="513">
                  <c:v>19</c:v>
                </c:pt>
                <c:pt idx="514">
                  <c:v>39</c:v>
                </c:pt>
                <c:pt idx="515">
                  <c:v>58</c:v>
                </c:pt>
                <c:pt idx="516">
                  <c:v>20</c:v>
                </c:pt>
                <c:pt idx="517">
                  <c:v>45</c:v>
                </c:pt>
                <c:pt idx="518">
                  <c:v>35</c:v>
                </c:pt>
                <c:pt idx="519">
                  <c:v>31</c:v>
                </c:pt>
                <c:pt idx="520">
                  <c:v>50</c:v>
                </c:pt>
                <c:pt idx="521">
                  <c:v>32</c:v>
                </c:pt>
                <c:pt idx="522">
                  <c:v>51</c:v>
                </c:pt>
                <c:pt idx="523">
                  <c:v>38</c:v>
                </c:pt>
                <c:pt idx="524">
                  <c:v>42</c:v>
                </c:pt>
                <c:pt idx="525">
                  <c:v>18</c:v>
                </c:pt>
                <c:pt idx="526">
                  <c:v>19</c:v>
                </c:pt>
                <c:pt idx="527">
                  <c:v>51</c:v>
                </c:pt>
                <c:pt idx="528">
                  <c:v>46</c:v>
                </c:pt>
                <c:pt idx="529">
                  <c:v>18</c:v>
                </c:pt>
                <c:pt idx="530">
                  <c:v>57</c:v>
                </c:pt>
                <c:pt idx="531">
                  <c:v>62</c:v>
                </c:pt>
                <c:pt idx="532">
                  <c:v>59</c:v>
                </c:pt>
                <c:pt idx="533">
                  <c:v>37</c:v>
                </c:pt>
                <c:pt idx="534">
                  <c:v>64</c:v>
                </c:pt>
                <c:pt idx="535">
                  <c:v>38</c:v>
                </c:pt>
                <c:pt idx="536">
                  <c:v>33</c:v>
                </c:pt>
                <c:pt idx="537">
                  <c:v>46</c:v>
                </c:pt>
                <c:pt idx="538">
                  <c:v>46</c:v>
                </c:pt>
                <c:pt idx="539">
                  <c:v>53</c:v>
                </c:pt>
                <c:pt idx="540">
                  <c:v>34</c:v>
                </c:pt>
                <c:pt idx="541">
                  <c:v>20</c:v>
                </c:pt>
                <c:pt idx="542">
                  <c:v>63</c:v>
                </c:pt>
                <c:pt idx="543">
                  <c:v>54</c:v>
                </c:pt>
                <c:pt idx="544">
                  <c:v>54</c:v>
                </c:pt>
                <c:pt idx="545">
                  <c:v>49</c:v>
                </c:pt>
                <c:pt idx="546">
                  <c:v>28</c:v>
                </c:pt>
                <c:pt idx="547">
                  <c:v>54</c:v>
                </c:pt>
                <c:pt idx="548">
                  <c:v>25</c:v>
                </c:pt>
                <c:pt idx="549">
                  <c:v>43</c:v>
                </c:pt>
                <c:pt idx="550">
                  <c:v>63</c:v>
                </c:pt>
                <c:pt idx="551">
                  <c:v>32</c:v>
                </c:pt>
                <c:pt idx="552">
                  <c:v>62</c:v>
                </c:pt>
                <c:pt idx="553">
                  <c:v>52</c:v>
                </c:pt>
                <c:pt idx="554">
                  <c:v>25</c:v>
                </c:pt>
                <c:pt idx="555">
                  <c:v>28</c:v>
                </c:pt>
                <c:pt idx="556">
                  <c:v>46</c:v>
                </c:pt>
                <c:pt idx="557">
                  <c:v>34</c:v>
                </c:pt>
                <c:pt idx="558">
                  <c:v>35</c:v>
                </c:pt>
                <c:pt idx="559">
                  <c:v>19</c:v>
                </c:pt>
                <c:pt idx="560">
                  <c:v>46</c:v>
                </c:pt>
                <c:pt idx="561">
                  <c:v>54</c:v>
                </c:pt>
                <c:pt idx="562">
                  <c:v>27</c:v>
                </c:pt>
                <c:pt idx="563">
                  <c:v>50</c:v>
                </c:pt>
                <c:pt idx="564">
                  <c:v>18</c:v>
                </c:pt>
                <c:pt idx="565">
                  <c:v>19</c:v>
                </c:pt>
                <c:pt idx="566">
                  <c:v>38</c:v>
                </c:pt>
                <c:pt idx="567">
                  <c:v>41</c:v>
                </c:pt>
                <c:pt idx="568">
                  <c:v>49</c:v>
                </c:pt>
                <c:pt idx="569">
                  <c:v>48</c:v>
                </c:pt>
                <c:pt idx="570">
                  <c:v>31</c:v>
                </c:pt>
                <c:pt idx="571">
                  <c:v>18</c:v>
                </c:pt>
                <c:pt idx="572">
                  <c:v>30</c:v>
                </c:pt>
                <c:pt idx="573">
                  <c:v>62</c:v>
                </c:pt>
                <c:pt idx="574">
                  <c:v>57</c:v>
                </c:pt>
                <c:pt idx="575">
                  <c:v>58</c:v>
                </c:pt>
                <c:pt idx="576">
                  <c:v>22</c:v>
                </c:pt>
                <c:pt idx="577">
                  <c:v>31</c:v>
                </c:pt>
                <c:pt idx="578">
                  <c:v>52</c:v>
                </c:pt>
                <c:pt idx="579">
                  <c:v>25</c:v>
                </c:pt>
                <c:pt idx="580">
                  <c:v>59</c:v>
                </c:pt>
                <c:pt idx="581">
                  <c:v>19</c:v>
                </c:pt>
                <c:pt idx="582">
                  <c:v>39</c:v>
                </c:pt>
                <c:pt idx="583">
                  <c:v>32</c:v>
                </c:pt>
                <c:pt idx="584">
                  <c:v>19</c:v>
                </c:pt>
                <c:pt idx="585">
                  <c:v>33</c:v>
                </c:pt>
                <c:pt idx="586">
                  <c:v>21</c:v>
                </c:pt>
                <c:pt idx="587">
                  <c:v>34</c:v>
                </c:pt>
                <c:pt idx="588">
                  <c:v>61</c:v>
                </c:pt>
                <c:pt idx="589">
                  <c:v>38</c:v>
                </c:pt>
                <c:pt idx="590">
                  <c:v>58</c:v>
                </c:pt>
                <c:pt idx="591">
                  <c:v>47</c:v>
                </c:pt>
                <c:pt idx="592">
                  <c:v>20</c:v>
                </c:pt>
                <c:pt idx="593">
                  <c:v>21</c:v>
                </c:pt>
                <c:pt idx="594">
                  <c:v>41</c:v>
                </c:pt>
                <c:pt idx="595">
                  <c:v>46</c:v>
                </c:pt>
                <c:pt idx="596">
                  <c:v>42</c:v>
                </c:pt>
                <c:pt idx="597">
                  <c:v>34</c:v>
                </c:pt>
                <c:pt idx="598">
                  <c:v>43</c:v>
                </c:pt>
                <c:pt idx="599">
                  <c:v>52</c:v>
                </c:pt>
                <c:pt idx="600">
                  <c:v>18</c:v>
                </c:pt>
                <c:pt idx="601">
                  <c:v>51</c:v>
                </c:pt>
                <c:pt idx="602">
                  <c:v>56</c:v>
                </c:pt>
                <c:pt idx="603">
                  <c:v>64</c:v>
                </c:pt>
                <c:pt idx="604">
                  <c:v>19</c:v>
                </c:pt>
                <c:pt idx="605">
                  <c:v>51</c:v>
                </c:pt>
                <c:pt idx="606">
                  <c:v>27</c:v>
                </c:pt>
                <c:pt idx="607">
                  <c:v>59</c:v>
                </c:pt>
                <c:pt idx="608">
                  <c:v>28</c:v>
                </c:pt>
                <c:pt idx="609">
                  <c:v>30</c:v>
                </c:pt>
                <c:pt idx="610">
                  <c:v>47</c:v>
                </c:pt>
                <c:pt idx="611">
                  <c:v>38</c:v>
                </c:pt>
                <c:pt idx="612">
                  <c:v>18</c:v>
                </c:pt>
                <c:pt idx="613">
                  <c:v>34</c:v>
                </c:pt>
                <c:pt idx="614">
                  <c:v>20</c:v>
                </c:pt>
                <c:pt idx="615">
                  <c:v>47</c:v>
                </c:pt>
                <c:pt idx="616">
                  <c:v>56</c:v>
                </c:pt>
                <c:pt idx="617">
                  <c:v>49</c:v>
                </c:pt>
                <c:pt idx="618">
                  <c:v>19</c:v>
                </c:pt>
                <c:pt idx="619">
                  <c:v>55</c:v>
                </c:pt>
                <c:pt idx="620">
                  <c:v>30</c:v>
                </c:pt>
                <c:pt idx="621">
                  <c:v>37</c:v>
                </c:pt>
                <c:pt idx="622">
                  <c:v>49</c:v>
                </c:pt>
                <c:pt idx="623">
                  <c:v>18</c:v>
                </c:pt>
                <c:pt idx="624">
                  <c:v>59</c:v>
                </c:pt>
                <c:pt idx="625">
                  <c:v>29</c:v>
                </c:pt>
                <c:pt idx="626">
                  <c:v>36</c:v>
                </c:pt>
                <c:pt idx="627">
                  <c:v>33</c:v>
                </c:pt>
                <c:pt idx="628">
                  <c:v>58</c:v>
                </c:pt>
                <c:pt idx="629">
                  <c:v>44</c:v>
                </c:pt>
                <c:pt idx="630">
                  <c:v>53</c:v>
                </c:pt>
                <c:pt idx="631">
                  <c:v>24</c:v>
                </c:pt>
                <c:pt idx="632">
                  <c:v>29</c:v>
                </c:pt>
                <c:pt idx="633">
                  <c:v>40</c:v>
                </c:pt>
                <c:pt idx="634">
                  <c:v>51</c:v>
                </c:pt>
                <c:pt idx="635">
                  <c:v>64</c:v>
                </c:pt>
                <c:pt idx="636">
                  <c:v>19</c:v>
                </c:pt>
                <c:pt idx="637">
                  <c:v>35</c:v>
                </c:pt>
                <c:pt idx="638">
                  <c:v>39</c:v>
                </c:pt>
                <c:pt idx="639">
                  <c:v>56</c:v>
                </c:pt>
                <c:pt idx="640">
                  <c:v>33</c:v>
                </c:pt>
                <c:pt idx="641">
                  <c:v>42</c:v>
                </c:pt>
                <c:pt idx="642">
                  <c:v>61</c:v>
                </c:pt>
                <c:pt idx="643">
                  <c:v>23</c:v>
                </c:pt>
                <c:pt idx="644">
                  <c:v>43</c:v>
                </c:pt>
                <c:pt idx="645">
                  <c:v>48</c:v>
                </c:pt>
                <c:pt idx="646">
                  <c:v>39</c:v>
                </c:pt>
                <c:pt idx="647">
                  <c:v>40</c:v>
                </c:pt>
                <c:pt idx="648">
                  <c:v>18</c:v>
                </c:pt>
                <c:pt idx="649">
                  <c:v>58</c:v>
                </c:pt>
                <c:pt idx="650">
                  <c:v>49</c:v>
                </c:pt>
                <c:pt idx="651">
                  <c:v>53</c:v>
                </c:pt>
                <c:pt idx="652">
                  <c:v>48</c:v>
                </c:pt>
                <c:pt idx="653">
                  <c:v>45</c:v>
                </c:pt>
                <c:pt idx="654">
                  <c:v>59</c:v>
                </c:pt>
                <c:pt idx="655">
                  <c:v>52</c:v>
                </c:pt>
                <c:pt idx="656">
                  <c:v>26</c:v>
                </c:pt>
                <c:pt idx="657">
                  <c:v>27</c:v>
                </c:pt>
                <c:pt idx="658">
                  <c:v>48</c:v>
                </c:pt>
                <c:pt idx="659">
                  <c:v>57</c:v>
                </c:pt>
                <c:pt idx="660">
                  <c:v>37</c:v>
                </c:pt>
                <c:pt idx="661">
                  <c:v>57</c:v>
                </c:pt>
                <c:pt idx="662">
                  <c:v>32</c:v>
                </c:pt>
                <c:pt idx="663">
                  <c:v>18</c:v>
                </c:pt>
                <c:pt idx="664">
                  <c:v>64</c:v>
                </c:pt>
                <c:pt idx="665">
                  <c:v>43</c:v>
                </c:pt>
                <c:pt idx="666">
                  <c:v>49</c:v>
                </c:pt>
                <c:pt idx="667">
                  <c:v>40</c:v>
                </c:pt>
                <c:pt idx="668">
                  <c:v>62</c:v>
                </c:pt>
                <c:pt idx="669">
                  <c:v>40</c:v>
                </c:pt>
                <c:pt idx="670">
                  <c:v>30</c:v>
                </c:pt>
                <c:pt idx="671">
                  <c:v>29</c:v>
                </c:pt>
                <c:pt idx="672">
                  <c:v>36</c:v>
                </c:pt>
                <c:pt idx="673">
                  <c:v>41</c:v>
                </c:pt>
                <c:pt idx="674">
                  <c:v>44</c:v>
                </c:pt>
                <c:pt idx="675">
                  <c:v>45</c:v>
                </c:pt>
                <c:pt idx="676">
                  <c:v>55</c:v>
                </c:pt>
                <c:pt idx="677">
                  <c:v>60</c:v>
                </c:pt>
                <c:pt idx="678">
                  <c:v>56</c:v>
                </c:pt>
                <c:pt idx="679">
                  <c:v>49</c:v>
                </c:pt>
                <c:pt idx="680">
                  <c:v>21</c:v>
                </c:pt>
                <c:pt idx="681">
                  <c:v>19</c:v>
                </c:pt>
                <c:pt idx="682">
                  <c:v>39</c:v>
                </c:pt>
                <c:pt idx="683">
                  <c:v>53</c:v>
                </c:pt>
                <c:pt idx="684">
                  <c:v>33</c:v>
                </c:pt>
                <c:pt idx="685">
                  <c:v>53</c:v>
                </c:pt>
                <c:pt idx="686">
                  <c:v>42</c:v>
                </c:pt>
                <c:pt idx="687">
                  <c:v>40</c:v>
                </c:pt>
                <c:pt idx="688">
                  <c:v>47</c:v>
                </c:pt>
                <c:pt idx="689">
                  <c:v>27</c:v>
                </c:pt>
                <c:pt idx="690">
                  <c:v>21</c:v>
                </c:pt>
                <c:pt idx="691">
                  <c:v>47</c:v>
                </c:pt>
                <c:pt idx="692">
                  <c:v>20</c:v>
                </c:pt>
                <c:pt idx="693">
                  <c:v>24</c:v>
                </c:pt>
                <c:pt idx="694">
                  <c:v>27</c:v>
                </c:pt>
                <c:pt idx="695">
                  <c:v>26</c:v>
                </c:pt>
                <c:pt idx="696">
                  <c:v>53</c:v>
                </c:pt>
                <c:pt idx="697">
                  <c:v>41</c:v>
                </c:pt>
                <c:pt idx="698">
                  <c:v>56</c:v>
                </c:pt>
                <c:pt idx="699">
                  <c:v>23</c:v>
                </c:pt>
                <c:pt idx="700">
                  <c:v>21</c:v>
                </c:pt>
                <c:pt idx="701">
                  <c:v>50</c:v>
                </c:pt>
                <c:pt idx="702">
                  <c:v>53</c:v>
                </c:pt>
                <c:pt idx="703">
                  <c:v>34</c:v>
                </c:pt>
                <c:pt idx="704">
                  <c:v>47</c:v>
                </c:pt>
                <c:pt idx="705">
                  <c:v>33</c:v>
                </c:pt>
                <c:pt idx="706">
                  <c:v>51</c:v>
                </c:pt>
                <c:pt idx="707">
                  <c:v>49</c:v>
                </c:pt>
                <c:pt idx="708">
                  <c:v>31</c:v>
                </c:pt>
                <c:pt idx="709">
                  <c:v>36</c:v>
                </c:pt>
                <c:pt idx="710">
                  <c:v>18</c:v>
                </c:pt>
                <c:pt idx="711">
                  <c:v>50</c:v>
                </c:pt>
                <c:pt idx="712">
                  <c:v>43</c:v>
                </c:pt>
                <c:pt idx="713">
                  <c:v>20</c:v>
                </c:pt>
                <c:pt idx="714">
                  <c:v>24</c:v>
                </c:pt>
                <c:pt idx="715">
                  <c:v>60</c:v>
                </c:pt>
                <c:pt idx="716">
                  <c:v>49</c:v>
                </c:pt>
                <c:pt idx="717">
                  <c:v>60</c:v>
                </c:pt>
                <c:pt idx="718">
                  <c:v>51</c:v>
                </c:pt>
                <c:pt idx="719">
                  <c:v>58</c:v>
                </c:pt>
                <c:pt idx="720">
                  <c:v>51</c:v>
                </c:pt>
                <c:pt idx="721">
                  <c:v>53</c:v>
                </c:pt>
                <c:pt idx="722">
                  <c:v>62</c:v>
                </c:pt>
                <c:pt idx="723">
                  <c:v>19</c:v>
                </c:pt>
                <c:pt idx="724">
                  <c:v>50</c:v>
                </c:pt>
                <c:pt idx="725">
                  <c:v>30</c:v>
                </c:pt>
                <c:pt idx="726">
                  <c:v>41</c:v>
                </c:pt>
                <c:pt idx="727">
                  <c:v>29</c:v>
                </c:pt>
                <c:pt idx="728">
                  <c:v>18</c:v>
                </c:pt>
                <c:pt idx="729">
                  <c:v>41</c:v>
                </c:pt>
                <c:pt idx="730">
                  <c:v>35</c:v>
                </c:pt>
                <c:pt idx="731">
                  <c:v>53</c:v>
                </c:pt>
                <c:pt idx="732">
                  <c:v>24</c:v>
                </c:pt>
                <c:pt idx="733">
                  <c:v>48</c:v>
                </c:pt>
                <c:pt idx="734">
                  <c:v>59</c:v>
                </c:pt>
                <c:pt idx="735">
                  <c:v>49</c:v>
                </c:pt>
                <c:pt idx="736">
                  <c:v>37</c:v>
                </c:pt>
                <c:pt idx="737">
                  <c:v>26</c:v>
                </c:pt>
                <c:pt idx="738">
                  <c:v>23</c:v>
                </c:pt>
                <c:pt idx="739">
                  <c:v>29</c:v>
                </c:pt>
                <c:pt idx="740">
                  <c:v>45</c:v>
                </c:pt>
                <c:pt idx="741">
                  <c:v>27</c:v>
                </c:pt>
                <c:pt idx="742">
                  <c:v>53</c:v>
                </c:pt>
                <c:pt idx="743">
                  <c:v>31</c:v>
                </c:pt>
                <c:pt idx="744">
                  <c:v>50</c:v>
                </c:pt>
                <c:pt idx="745">
                  <c:v>50</c:v>
                </c:pt>
                <c:pt idx="746">
                  <c:v>34</c:v>
                </c:pt>
                <c:pt idx="747">
                  <c:v>19</c:v>
                </c:pt>
                <c:pt idx="748">
                  <c:v>47</c:v>
                </c:pt>
                <c:pt idx="749">
                  <c:v>28</c:v>
                </c:pt>
                <c:pt idx="750">
                  <c:v>37</c:v>
                </c:pt>
                <c:pt idx="751">
                  <c:v>21</c:v>
                </c:pt>
                <c:pt idx="752">
                  <c:v>64</c:v>
                </c:pt>
                <c:pt idx="753">
                  <c:v>58</c:v>
                </c:pt>
                <c:pt idx="754">
                  <c:v>24</c:v>
                </c:pt>
                <c:pt idx="755">
                  <c:v>31</c:v>
                </c:pt>
                <c:pt idx="756">
                  <c:v>39</c:v>
                </c:pt>
                <c:pt idx="757">
                  <c:v>47</c:v>
                </c:pt>
                <c:pt idx="758">
                  <c:v>30</c:v>
                </c:pt>
                <c:pt idx="759">
                  <c:v>18</c:v>
                </c:pt>
                <c:pt idx="760">
                  <c:v>22</c:v>
                </c:pt>
                <c:pt idx="761">
                  <c:v>23</c:v>
                </c:pt>
                <c:pt idx="762">
                  <c:v>33</c:v>
                </c:pt>
                <c:pt idx="763">
                  <c:v>27</c:v>
                </c:pt>
                <c:pt idx="764">
                  <c:v>45</c:v>
                </c:pt>
                <c:pt idx="765">
                  <c:v>57</c:v>
                </c:pt>
                <c:pt idx="766">
                  <c:v>47</c:v>
                </c:pt>
                <c:pt idx="767">
                  <c:v>42</c:v>
                </c:pt>
                <c:pt idx="768">
                  <c:v>64</c:v>
                </c:pt>
                <c:pt idx="769">
                  <c:v>38</c:v>
                </c:pt>
                <c:pt idx="770">
                  <c:v>61</c:v>
                </c:pt>
                <c:pt idx="771">
                  <c:v>53</c:v>
                </c:pt>
                <c:pt idx="772">
                  <c:v>44</c:v>
                </c:pt>
                <c:pt idx="773">
                  <c:v>19</c:v>
                </c:pt>
                <c:pt idx="774">
                  <c:v>41</c:v>
                </c:pt>
                <c:pt idx="775">
                  <c:v>51</c:v>
                </c:pt>
                <c:pt idx="776">
                  <c:v>40</c:v>
                </c:pt>
                <c:pt idx="777">
                  <c:v>45</c:v>
                </c:pt>
                <c:pt idx="778">
                  <c:v>35</c:v>
                </c:pt>
                <c:pt idx="779">
                  <c:v>53</c:v>
                </c:pt>
                <c:pt idx="780">
                  <c:v>30</c:v>
                </c:pt>
                <c:pt idx="781">
                  <c:v>18</c:v>
                </c:pt>
                <c:pt idx="782">
                  <c:v>51</c:v>
                </c:pt>
                <c:pt idx="783">
                  <c:v>50</c:v>
                </c:pt>
                <c:pt idx="784">
                  <c:v>31</c:v>
                </c:pt>
                <c:pt idx="785">
                  <c:v>35</c:v>
                </c:pt>
                <c:pt idx="786">
                  <c:v>60</c:v>
                </c:pt>
                <c:pt idx="787">
                  <c:v>21</c:v>
                </c:pt>
                <c:pt idx="788">
                  <c:v>29</c:v>
                </c:pt>
                <c:pt idx="789">
                  <c:v>62</c:v>
                </c:pt>
                <c:pt idx="790">
                  <c:v>39</c:v>
                </c:pt>
                <c:pt idx="791">
                  <c:v>19</c:v>
                </c:pt>
                <c:pt idx="792">
                  <c:v>22</c:v>
                </c:pt>
                <c:pt idx="793">
                  <c:v>53</c:v>
                </c:pt>
                <c:pt idx="794">
                  <c:v>39</c:v>
                </c:pt>
                <c:pt idx="795">
                  <c:v>27</c:v>
                </c:pt>
                <c:pt idx="796">
                  <c:v>30</c:v>
                </c:pt>
                <c:pt idx="797">
                  <c:v>30</c:v>
                </c:pt>
                <c:pt idx="798">
                  <c:v>58</c:v>
                </c:pt>
                <c:pt idx="799">
                  <c:v>33</c:v>
                </c:pt>
                <c:pt idx="800">
                  <c:v>42</c:v>
                </c:pt>
                <c:pt idx="801">
                  <c:v>64</c:v>
                </c:pt>
                <c:pt idx="802">
                  <c:v>21</c:v>
                </c:pt>
                <c:pt idx="803">
                  <c:v>18</c:v>
                </c:pt>
                <c:pt idx="804">
                  <c:v>23</c:v>
                </c:pt>
                <c:pt idx="805">
                  <c:v>45</c:v>
                </c:pt>
                <c:pt idx="806">
                  <c:v>40</c:v>
                </c:pt>
                <c:pt idx="807">
                  <c:v>19</c:v>
                </c:pt>
                <c:pt idx="808">
                  <c:v>18</c:v>
                </c:pt>
                <c:pt idx="809">
                  <c:v>25</c:v>
                </c:pt>
                <c:pt idx="810">
                  <c:v>46</c:v>
                </c:pt>
                <c:pt idx="811">
                  <c:v>33</c:v>
                </c:pt>
                <c:pt idx="812">
                  <c:v>54</c:v>
                </c:pt>
                <c:pt idx="813">
                  <c:v>28</c:v>
                </c:pt>
                <c:pt idx="814">
                  <c:v>36</c:v>
                </c:pt>
                <c:pt idx="815">
                  <c:v>20</c:v>
                </c:pt>
                <c:pt idx="816">
                  <c:v>24</c:v>
                </c:pt>
                <c:pt idx="817">
                  <c:v>23</c:v>
                </c:pt>
                <c:pt idx="818">
                  <c:v>47</c:v>
                </c:pt>
                <c:pt idx="819">
                  <c:v>33</c:v>
                </c:pt>
                <c:pt idx="820">
                  <c:v>45</c:v>
                </c:pt>
                <c:pt idx="821">
                  <c:v>26</c:v>
                </c:pt>
                <c:pt idx="822">
                  <c:v>18</c:v>
                </c:pt>
                <c:pt idx="823">
                  <c:v>44</c:v>
                </c:pt>
                <c:pt idx="824">
                  <c:v>60</c:v>
                </c:pt>
                <c:pt idx="825">
                  <c:v>64</c:v>
                </c:pt>
                <c:pt idx="826">
                  <c:v>56</c:v>
                </c:pt>
                <c:pt idx="827">
                  <c:v>36</c:v>
                </c:pt>
                <c:pt idx="828">
                  <c:v>41</c:v>
                </c:pt>
                <c:pt idx="829">
                  <c:v>39</c:v>
                </c:pt>
                <c:pt idx="830">
                  <c:v>63</c:v>
                </c:pt>
                <c:pt idx="831">
                  <c:v>36</c:v>
                </c:pt>
                <c:pt idx="832">
                  <c:v>28</c:v>
                </c:pt>
                <c:pt idx="833">
                  <c:v>58</c:v>
                </c:pt>
                <c:pt idx="834">
                  <c:v>36</c:v>
                </c:pt>
                <c:pt idx="835">
                  <c:v>42</c:v>
                </c:pt>
                <c:pt idx="836">
                  <c:v>36</c:v>
                </c:pt>
                <c:pt idx="837">
                  <c:v>56</c:v>
                </c:pt>
                <c:pt idx="838">
                  <c:v>35</c:v>
                </c:pt>
                <c:pt idx="839">
                  <c:v>59</c:v>
                </c:pt>
                <c:pt idx="840">
                  <c:v>21</c:v>
                </c:pt>
                <c:pt idx="841">
                  <c:v>59</c:v>
                </c:pt>
                <c:pt idx="842">
                  <c:v>23</c:v>
                </c:pt>
                <c:pt idx="843">
                  <c:v>57</c:v>
                </c:pt>
                <c:pt idx="844">
                  <c:v>53</c:v>
                </c:pt>
                <c:pt idx="845">
                  <c:v>60</c:v>
                </c:pt>
                <c:pt idx="846">
                  <c:v>51</c:v>
                </c:pt>
                <c:pt idx="847">
                  <c:v>23</c:v>
                </c:pt>
                <c:pt idx="848">
                  <c:v>27</c:v>
                </c:pt>
                <c:pt idx="849">
                  <c:v>55</c:v>
                </c:pt>
                <c:pt idx="850">
                  <c:v>37</c:v>
                </c:pt>
                <c:pt idx="851">
                  <c:v>61</c:v>
                </c:pt>
                <c:pt idx="852">
                  <c:v>46</c:v>
                </c:pt>
                <c:pt idx="853">
                  <c:v>53</c:v>
                </c:pt>
                <c:pt idx="854">
                  <c:v>49</c:v>
                </c:pt>
                <c:pt idx="855">
                  <c:v>20</c:v>
                </c:pt>
                <c:pt idx="856">
                  <c:v>48</c:v>
                </c:pt>
                <c:pt idx="857">
                  <c:v>25</c:v>
                </c:pt>
                <c:pt idx="858">
                  <c:v>25</c:v>
                </c:pt>
                <c:pt idx="859">
                  <c:v>57</c:v>
                </c:pt>
                <c:pt idx="860">
                  <c:v>37</c:v>
                </c:pt>
                <c:pt idx="861">
                  <c:v>38</c:v>
                </c:pt>
                <c:pt idx="862">
                  <c:v>55</c:v>
                </c:pt>
                <c:pt idx="863">
                  <c:v>36</c:v>
                </c:pt>
                <c:pt idx="864">
                  <c:v>51</c:v>
                </c:pt>
                <c:pt idx="865">
                  <c:v>40</c:v>
                </c:pt>
                <c:pt idx="866">
                  <c:v>18</c:v>
                </c:pt>
                <c:pt idx="867">
                  <c:v>57</c:v>
                </c:pt>
                <c:pt idx="868">
                  <c:v>61</c:v>
                </c:pt>
                <c:pt idx="869">
                  <c:v>25</c:v>
                </c:pt>
                <c:pt idx="870">
                  <c:v>50</c:v>
                </c:pt>
                <c:pt idx="871">
                  <c:v>26</c:v>
                </c:pt>
                <c:pt idx="872">
                  <c:v>42</c:v>
                </c:pt>
                <c:pt idx="873">
                  <c:v>43</c:v>
                </c:pt>
                <c:pt idx="874">
                  <c:v>44</c:v>
                </c:pt>
                <c:pt idx="875">
                  <c:v>23</c:v>
                </c:pt>
                <c:pt idx="876">
                  <c:v>49</c:v>
                </c:pt>
                <c:pt idx="877">
                  <c:v>33</c:v>
                </c:pt>
                <c:pt idx="878">
                  <c:v>41</c:v>
                </c:pt>
                <c:pt idx="879">
                  <c:v>37</c:v>
                </c:pt>
                <c:pt idx="880">
                  <c:v>22</c:v>
                </c:pt>
                <c:pt idx="881">
                  <c:v>23</c:v>
                </c:pt>
                <c:pt idx="882">
                  <c:v>21</c:v>
                </c:pt>
                <c:pt idx="883">
                  <c:v>51</c:v>
                </c:pt>
                <c:pt idx="884">
                  <c:v>25</c:v>
                </c:pt>
                <c:pt idx="885">
                  <c:v>32</c:v>
                </c:pt>
                <c:pt idx="886">
                  <c:v>57</c:v>
                </c:pt>
                <c:pt idx="887">
                  <c:v>36</c:v>
                </c:pt>
                <c:pt idx="888">
                  <c:v>22</c:v>
                </c:pt>
                <c:pt idx="889">
                  <c:v>57</c:v>
                </c:pt>
                <c:pt idx="890">
                  <c:v>64</c:v>
                </c:pt>
                <c:pt idx="891">
                  <c:v>36</c:v>
                </c:pt>
                <c:pt idx="892">
                  <c:v>54</c:v>
                </c:pt>
                <c:pt idx="893">
                  <c:v>47</c:v>
                </c:pt>
                <c:pt idx="894">
                  <c:v>62</c:v>
                </c:pt>
                <c:pt idx="895">
                  <c:v>61</c:v>
                </c:pt>
                <c:pt idx="896">
                  <c:v>43</c:v>
                </c:pt>
                <c:pt idx="897">
                  <c:v>19</c:v>
                </c:pt>
                <c:pt idx="898">
                  <c:v>18</c:v>
                </c:pt>
                <c:pt idx="899">
                  <c:v>19</c:v>
                </c:pt>
                <c:pt idx="900">
                  <c:v>49</c:v>
                </c:pt>
                <c:pt idx="901">
                  <c:v>60</c:v>
                </c:pt>
                <c:pt idx="902">
                  <c:v>26</c:v>
                </c:pt>
                <c:pt idx="903">
                  <c:v>49</c:v>
                </c:pt>
                <c:pt idx="904">
                  <c:v>60</c:v>
                </c:pt>
                <c:pt idx="905">
                  <c:v>26</c:v>
                </c:pt>
                <c:pt idx="906">
                  <c:v>27</c:v>
                </c:pt>
                <c:pt idx="907">
                  <c:v>44</c:v>
                </c:pt>
                <c:pt idx="908">
                  <c:v>63</c:v>
                </c:pt>
                <c:pt idx="909">
                  <c:v>32</c:v>
                </c:pt>
                <c:pt idx="910">
                  <c:v>22</c:v>
                </c:pt>
                <c:pt idx="911">
                  <c:v>18</c:v>
                </c:pt>
                <c:pt idx="912">
                  <c:v>59</c:v>
                </c:pt>
                <c:pt idx="913">
                  <c:v>44</c:v>
                </c:pt>
                <c:pt idx="914">
                  <c:v>33</c:v>
                </c:pt>
                <c:pt idx="915">
                  <c:v>24</c:v>
                </c:pt>
                <c:pt idx="916">
                  <c:v>43</c:v>
                </c:pt>
                <c:pt idx="917">
                  <c:v>45</c:v>
                </c:pt>
                <c:pt idx="918">
                  <c:v>61</c:v>
                </c:pt>
                <c:pt idx="919">
                  <c:v>35</c:v>
                </c:pt>
                <c:pt idx="920">
                  <c:v>62</c:v>
                </c:pt>
                <c:pt idx="921">
                  <c:v>62</c:v>
                </c:pt>
                <c:pt idx="922">
                  <c:v>38</c:v>
                </c:pt>
                <c:pt idx="923">
                  <c:v>34</c:v>
                </c:pt>
                <c:pt idx="924">
                  <c:v>43</c:v>
                </c:pt>
                <c:pt idx="925">
                  <c:v>50</c:v>
                </c:pt>
                <c:pt idx="926">
                  <c:v>19</c:v>
                </c:pt>
                <c:pt idx="927">
                  <c:v>57</c:v>
                </c:pt>
                <c:pt idx="928">
                  <c:v>62</c:v>
                </c:pt>
                <c:pt idx="929">
                  <c:v>41</c:v>
                </c:pt>
                <c:pt idx="930">
                  <c:v>26</c:v>
                </c:pt>
                <c:pt idx="931">
                  <c:v>39</c:v>
                </c:pt>
                <c:pt idx="932">
                  <c:v>46</c:v>
                </c:pt>
                <c:pt idx="933">
                  <c:v>45</c:v>
                </c:pt>
                <c:pt idx="934">
                  <c:v>32</c:v>
                </c:pt>
                <c:pt idx="935">
                  <c:v>59</c:v>
                </c:pt>
                <c:pt idx="936">
                  <c:v>44</c:v>
                </c:pt>
                <c:pt idx="937">
                  <c:v>39</c:v>
                </c:pt>
                <c:pt idx="938">
                  <c:v>18</c:v>
                </c:pt>
                <c:pt idx="939">
                  <c:v>53</c:v>
                </c:pt>
                <c:pt idx="940">
                  <c:v>18</c:v>
                </c:pt>
                <c:pt idx="941">
                  <c:v>50</c:v>
                </c:pt>
                <c:pt idx="942">
                  <c:v>18</c:v>
                </c:pt>
                <c:pt idx="943">
                  <c:v>19</c:v>
                </c:pt>
                <c:pt idx="944">
                  <c:v>62</c:v>
                </c:pt>
                <c:pt idx="945">
                  <c:v>56</c:v>
                </c:pt>
                <c:pt idx="946">
                  <c:v>42</c:v>
                </c:pt>
                <c:pt idx="947">
                  <c:v>37</c:v>
                </c:pt>
                <c:pt idx="948">
                  <c:v>42</c:v>
                </c:pt>
                <c:pt idx="949">
                  <c:v>25</c:v>
                </c:pt>
                <c:pt idx="950">
                  <c:v>57</c:v>
                </c:pt>
                <c:pt idx="951">
                  <c:v>51</c:v>
                </c:pt>
                <c:pt idx="952">
                  <c:v>30</c:v>
                </c:pt>
                <c:pt idx="953">
                  <c:v>44</c:v>
                </c:pt>
                <c:pt idx="954">
                  <c:v>34</c:v>
                </c:pt>
                <c:pt idx="955">
                  <c:v>31</c:v>
                </c:pt>
                <c:pt idx="956">
                  <c:v>54</c:v>
                </c:pt>
                <c:pt idx="957">
                  <c:v>24</c:v>
                </c:pt>
                <c:pt idx="958">
                  <c:v>43</c:v>
                </c:pt>
                <c:pt idx="959">
                  <c:v>48</c:v>
                </c:pt>
                <c:pt idx="960">
                  <c:v>19</c:v>
                </c:pt>
                <c:pt idx="961">
                  <c:v>29</c:v>
                </c:pt>
                <c:pt idx="962">
                  <c:v>63</c:v>
                </c:pt>
                <c:pt idx="963">
                  <c:v>46</c:v>
                </c:pt>
                <c:pt idx="964">
                  <c:v>52</c:v>
                </c:pt>
                <c:pt idx="965">
                  <c:v>35</c:v>
                </c:pt>
                <c:pt idx="966">
                  <c:v>51</c:v>
                </c:pt>
                <c:pt idx="967">
                  <c:v>44</c:v>
                </c:pt>
                <c:pt idx="968">
                  <c:v>21</c:v>
                </c:pt>
                <c:pt idx="969">
                  <c:v>39</c:v>
                </c:pt>
                <c:pt idx="970">
                  <c:v>50</c:v>
                </c:pt>
                <c:pt idx="971">
                  <c:v>34</c:v>
                </c:pt>
                <c:pt idx="972">
                  <c:v>22</c:v>
                </c:pt>
                <c:pt idx="973">
                  <c:v>19</c:v>
                </c:pt>
                <c:pt idx="974">
                  <c:v>26</c:v>
                </c:pt>
                <c:pt idx="975">
                  <c:v>29</c:v>
                </c:pt>
                <c:pt idx="976">
                  <c:v>48</c:v>
                </c:pt>
                <c:pt idx="977">
                  <c:v>26</c:v>
                </c:pt>
                <c:pt idx="978">
                  <c:v>45</c:v>
                </c:pt>
                <c:pt idx="979">
                  <c:v>36</c:v>
                </c:pt>
                <c:pt idx="980">
                  <c:v>54</c:v>
                </c:pt>
                <c:pt idx="981">
                  <c:v>34</c:v>
                </c:pt>
                <c:pt idx="982">
                  <c:v>31</c:v>
                </c:pt>
                <c:pt idx="983">
                  <c:v>27</c:v>
                </c:pt>
                <c:pt idx="984">
                  <c:v>20</c:v>
                </c:pt>
                <c:pt idx="985">
                  <c:v>44</c:v>
                </c:pt>
                <c:pt idx="986">
                  <c:v>43</c:v>
                </c:pt>
                <c:pt idx="987">
                  <c:v>45</c:v>
                </c:pt>
                <c:pt idx="988">
                  <c:v>34</c:v>
                </c:pt>
                <c:pt idx="989">
                  <c:v>24</c:v>
                </c:pt>
                <c:pt idx="990">
                  <c:v>26</c:v>
                </c:pt>
                <c:pt idx="991">
                  <c:v>38</c:v>
                </c:pt>
                <c:pt idx="992">
                  <c:v>50</c:v>
                </c:pt>
                <c:pt idx="993">
                  <c:v>38</c:v>
                </c:pt>
                <c:pt idx="994">
                  <c:v>27</c:v>
                </c:pt>
                <c:pt idx="995">
                  <c:v>39</c:v>
                </c:pt>
                <c:pt idx="996">
                  <c:v>39</c:v>
                </c:pt>
                <c:pt idx="997">
                  <c:v>63</c:v>
                </c:pt>
                <c:pt idx="998">
                  <c:v>33</c:v>
                </c:pt>
                <c:pt idx="999">
                  <c:v>36</c:v>
                </c:pt>
                <c:pt idx="1000">
                  <c:v>30</c:v>
                </c:pt>
                <c:pt idx="1001">
                  <c:v>24</c:v>
                </c:pt>
                <c:pt idx="1002">
                  <c:v>24</c:v>
                </c:pt>
                <c:pt idx="1003">
                  <c:v>48</c:v>
                </c:pt>
                <c:pt idx="1004">
                  <c:v>47</c:v>
                </c:pt>
                <c:pt idx="1005">
                  <c:v>29</c:v>
                </c:pt>
                <c:pt idx="1006">
                  <c:v>28</c:v>
                </c:pt>
                <c:pt idx="1007">
                  <c:v>47</c:v>
                </c:pt>
                <c:pt idx="1008">
                  <c:v>25</c:v>
                </c:pt>
                <c:pt idx="1009">
                  <c:v>51</c:v>
                </c:pt>
                <c:pt idx="1010">
                  <c:v>48</c:v>
                </c:pt>
                <c:pt idx="1011">
                  <c:v>43</c:v>
                </c:pt>
                <c:pt idx="1012">
                  <c:v>61</c:v>
                </c:pt>
                <c:pt idx="1013">
                  <c:v>48</c:v>
                </c:pt>
                <c:pt idx="1014">
                  <c:v>38</c:v>
                </c:pt>
                <c:pt idx="1015">
                  <c:v>59</c:v>
                </c:pt>
                <c:pt idx="1016">
                  <c:v>19</c:v>
                </c:pt>
                <c:pt idx="1017">
                  <c:v>26</c:v>
                </c:pt>
                <c:pt idx="1018">
                  <c:v>54</c:v>
                </c:pt>
                <c:pt idx="1019">
                  <c:v>21</c:v>
                </c:pt>
                <c:pt idx="1020">
                  <c:v>51</c:v>
                </c:pt>
                <c:pt idx="1021">
                  <c:v>22</c:v>
                </c:pt>
                <c:pt idx="1022">
                  <c:v>47</c:v>
                </c:pt>
                <c:pt idx="1023">
                  <c:v>18</c:v>
                </c:pt>
                <c:pt idx="1024">
                  <c:v>47</c:v>
                </c:pt>
                <c:pt idx="1025">
                  <c:v>21</c:v>
                </c:pt>
                <c:pt idx="1026">
                  <c:v>19</c:v>
                </c:pt>
                <c:pt idx="1027">
                  <c:v>23</c:v>
                </c:pt>
                <c:pt idx="1028">
                  <c:v>54</c:v>
                </c:pt>
                <c:pt idx="1029">
                  <c:v>37</c:v>
                </c:pt>
                <c:pt idx="1030">
                  <c:v>46</c:v>
                </c:pt>
                <c:pt idx="1031">
                  <c:v>55</c:v>
                </c:pt>
                <c:pt idx="1032">
                  <c:v>30</c:v>
                </c:pt>
                <c:pt idx="1033">
                  <c:v>18</c:v>
                </c:pt>
                <c:pt idx="1034">
                  <c:v>61</c:v>
                </c:pt>
                <c:pt idx="1035">
                  <c:v>54</c:v>
                </c:pt>
                <c:pt idx="1036">
                  <c:v>22</c:v>
                </c:pt>
                <c:pt idx="1037">
                  <c:v>45</c:v>
                </c:pt>
                <c:pt idx="1038">
                  <c:v>22</c:v>
                </c:pt>
                <c:pt idx="1039">
                  <c:v>19</c:v>
                </c:pt>
                <c:pt idx="1040">
                  <c:v>35</c:v>
                </c:pt>
                <c:pt idx="1041">
                  <c:v>18</c:v>
                </c:pt>
                <c:pt idx="1042">
                  <c:v>20</c:v>
                </c:pt>
                <c:pt idx="1043">
                  <c:v>28</c:v>
                </c:pt>
                <c:pt idx="1044">
                  <c:v>55</c:v>
                </c:pt>
                <c:pt idx="1045">
                  <c:v>43</c:v>
                </c:pt>
                <c:pt idx="1046">
                  <c:v>43</c:v>
                </c:pt>
                <c:pt idx="1047">
                  <c:v>22</c:v>
                </c:pt>
                <c:pt idx="1048">
                  <c:v>25</c:v>
                </c:pt>
                <c:pt idx="1049">
                  <c:v>49</c:v>
                </c:pt>
                <c:pt idx="1050">
                  <c:v>44</c:v>
                </c:pt>
                <c:pt idx="1051">
                  <c:v>64</c:v>
                </c:pt>
                <c:pt idx="1052">
                  <c:v>49</c:v>
                </c:pt>
                <c:pt idx="1053">
                  <c:v>47</c:v>
                </c:pt>
                <c:pt idx="1054">
                  <c:v>27</c:v>
                </c:pt>
                <c:pt idx="1055">
                  <c:v>55</c:v>
                </c:pt>
                <c:pt idx="1056">
                  <c:v>48</c:v>
                </c:pt>
                <c:pt idx="1057">
                  <c:v>45</c:v>
                </c:pt>
                <c:pt idx="1058">
                  <c:v>24</c:v>
                </c:pt>
                <c:pt idx="1059">
                  <c:v>32</c:v>
                </c:pt>
                <c:pt idx="1060">
                  <c:v>24</c:v>
                </c:pt>
                <c:pt idx="1061">
                  <c:v>57</c:v>
                </c:pt>
                <c:pt idx="1062">
                  <c:v>59</c:v>
                </c:pt>
                <c:pt idx="1063">
                  <c:v>36</c:v>
                </c:pt>
                <c:pt idx="1064">
                  <c:v>29</c:v>
                </c:pt>
                <c:pt idx="1065">
                  <c:v>42</c:v>
                </c:pt>
                <c:pt idx="1066">
                  <c:v>48</c:v>
                </c:pt>
                <c:pt idx="1067">
                  <c:v>39</c:v>
                </c:pt>
                <c:pt idx="1068">
                  <c:v>63</c:v>
                </c:pt>
                <c:pt idx="1069">
                  <c:v>54</c:v>
                </c:pt>
                <c:pt idx="1070">
                  <c:v>37</c:v>
                </c:pt>
                <c:pt idx="1071">
                  <c:v>63</c:v>
                </c:pt>
                <c:pt idx="1072">
                  <c:v>21</c:v>
                </c:pt>
                <c:pt idx="1073">
                  <c:v>54</c:v>
                </c:pt>
                <c:pt idx="1074">
                  <c:v>60</c:v>
                </c:pt>
                <c:pt idx="1075">
                  <c:v>32</c:v>
                </c:pt>
                <c:pt idx="1076">
                  <c:v>47</c:v>
                </c:pt>
                <c:pt idx="1077">
                  <c:v>21</c:v>
                </c:pt>
                <c:pt idx="1078">
                  <c:v>28</c:v>
                </c:pt>
                <c:pt idx="1079">
                  <c:v>63</c:v>
                </c:pt>
                <c:pt idx="1080">
                  <c:v>18</c:v>
                </c:pt>
                <c:pt idx="1081">
                  <c:v>32</c:v>
                </c:pt>
                <c:pt idx="1082">
                  <c:v>38</c:v>
                </c:pt>
                <c:pt idx="1083">
                  <c:v>32</c:v>
                </c:pt>
                <c:pt idx="1084">
                  <c:v>62</c:v>
                </c:pt>
                <c:pt idx="1085">
                  <c:v>39</c:v>
                </c:pt>
                <c:pt idx="1086">
                  <c:v>55</c:v>
                </c:pt>
                <c:pt idx="1087">
                  <c:v>57</c:v>
                </c:pt>
                <c:pt idx="1088">
                  <c:v>52</c:v>
                </c:pt>
                <c:pt idx="1089">
                  <c:v>56</c:v>
                </c:pt>
                <c:pt idx="1090">
                  <c:v>47</c:v>
                </c:pt>
                <c:pt idx="1091">
                  <c:v>55</c:v>
                </c:pt>
                <c:pt idx="1092">
                  <c:v>23</c:v>
                </c:pt>
                <c:pt idx="1093">
                  <c:v>22</c:v>
                </c:pt>
                <c:pt idx="1094">
                  <c:v>50</c:v>
                </c:pt>
                <c:pt idx="1095">
                  <c:v>18</c:v>
                </c:pt>
                <c:pt idx="1096">
                  <c:v>51</c:v>
                </c:pt>
                <c:pt idx="1097">
                  <c:v>22</c:v>
                </c:pt>
                <c:pt idx="1098">
                  <c:v>52</c:v>
                </c:pt>
                <c:pt idx="1099">
                  <c:v>25</c:v>
                </c:pt>
                <c:pt idx="1100">
                  <c:v>33</c:v>
                </c:pt>
                <c:pt idx="1101">
                  <c:v>53</c:v>
                </c:pt>
                <c:pt idx="1102">
                  <c:v>29</c:v>
                </c:pt>
                <c:pt idx="1103">
                  <c:v>58</c:v>
                </c:pt>
                <c:pt idx="1104">
                  <c:v>37</c:v>
                </c:pt>
                <c:pt idx="1105">
                  <c:v>54</c:v>
                </c:pt>
                <c:pt idx="1106">
                  <c:v>49</c:v>
                </c:pt>
                <c:pt idx="1107">
                  <c:v>50</c:v>
                </c:pt>
                <c:pt idx="1108">
                  <c:v>26</c:v>
                </c:pt>
                <c:pt idx="1109">
                  <c:v>45</c:v>
                </c:pt>
                <c:pt idx="1110">
                  <c:v>54</c:v>
                </c:pt>
                <c:pt idx="1111">
                  <c:v>38</c:v>
                </c:pt>
                <c:pt idx="1112">
                  <c:v>48</c:v>
                </c:pt>
                <c:pt idx="1113">
                  <c:v>28</c:v>
                </c:pt>
                <c:pt idx="1114">
                  <c:v>23</c:v>
                </c:pt>
                <c:pt idx="1115">
                  <c:v>55</c:v>
                </c:pt>
                <c:pt idx="1116">
                  <c:v>41</c:v>
                </c:pt>
                <c:pt idx="1117">
                  <c:v>25</c:v>
                </c:pt>
                <c:pt idx="1118">
                  <c:v>33</c:v>
                </c:pt>
                <c:pt idx="1119">
                  <c:v>30</c:v>
                </c:pt>
                <c:pt idx="1120">
                  <c:v>23</c:v>
                </c:pt>
                <c:pt idx="1121">
                  <c:v>46</c:v>
                </c:pt>
                <c:pt idx="1122">
                  <c:v>53</c:v>
                </c:pt>
                <c:pt idx="1123">
                  <c:v>27</c:v>
                </c:pt>
                <c:pt idx="1124">
                  <c:v>23</c:v>
                </c:pt>
                <c:pt idx="1125">
                  <c:v>63</c:v>
                </c:pt>
                <c:pt idx="1126">
                  <c:v>55</c:v>
                </c:pt>
                <c:pt idx="1127">
                  <c:v>35</c:v>
                </c:pt>
                <c:pt idx="1128">
                  <c:v>34</c:v>
                </c:pt>
                <c:pt idx="1129">
                  <c:v>19</c:v>
                </c:pt>
                <c:pt idx="1130">
                  <c:v>39</c:v>
                </c:pt>
                <c:pt idx="1131">
                  <c:v>27</c:v>
                </c:pt>
                <c:pt idx="1132">
                  <c:v>57</c:v>
                </c:pt>
                <c:pt idx="1133">
                  <c:v>52</c:v>
                </c:pt>
                <c:pt idx="1134">
                  <c:v>28</c:v>
                </c:pt>
                <c:pt idx="1135">
                  <c:v>50</c:v>
                </c:pt>
                <c:pt idx="1136">
                  <c:v>44</c:v>
                </c:pt>
                <c:pt idx="1137">
                  <c:v>26</c:v>
                </c:pt>
                <c:pt idx="1138">
                  <c:v>33</c:v>
                </c:pt>
                <c:pt idx="1139">
                  <c:v>19</c:v>
                </c:pt>
                <c:pt idx="1140">
                  <c:v>50</c:v>
                </c:pt>
                <c:pt idx="1141">
                  <c:v>41</c:v>
                </c:pt>
                <c:pt idx="1142">
                  <c:v>52</c:v>
                </c:pt>
                <c:pt idx="1143">
                  <c:v>39</c:v>
                </c:pt>
                <c:pt idx="1144">
                  <c:v>50</c:v>
                </c:pt>
                <c:pt idx="1145">
                  <c:v>52</c:v>
                </c:pt>
                <c:pt idx="1146">
                  <c:v>60</c:v>
                </c:pt>
                <c:pt idx="1147">
                  <c:v>20</c:v>
                </c:pt>
                <c:pt idx="1148">
                  <c:v>55</c:v>
                </c:pt>
                <c:pt idx="1149">
                  <c:v>42</c:v>
                </c:pt>
                <c:pt idx="1150">
                  <c:v>18</c:v>
                </c:pt>
                <c:pt idx="1151">
                  <c:v>58</c:v>
                </c:pt>
                <c:pt idx="1152">
                  <c:v>43</c:v>
                </c:pt>
                <c:pt idx="1153">
                  <c:v>35</c:v>
                </c:pt>
                <c:pt idx="1154">
                  <c:v>48</c:v>
                </c:pt>
                <c:pt idx="1155">
                  <c:v>36</c:v>
                </c:pt>
                <c:pt idx="1156">
                  <c:v>19</c:v>
                </c:pt>
                <c:pt idx="1157">
                  <c:v>23</c:v>
                </c:pt>
                <c:pt idx="1158">
                  <c:v>20</c:v>
                </c:pt>
                <c:pt idx="1159">
                  <c:v>32</c:v>
                </c:pt>
                <c:pt idx="1160">
                  <c:v>43</c:v>
                </c:pt>
                <c:pt idx="1161">
                  <c:v>34</c:v>
                </c:pt>
                <c:pt idx="1162">
                  <c:v>30</c:v>
                </c:pt>
                <c:pt idx="1163">
                  <c:v>18</c:v>
                </c:pt>
                <c:pt idx="1164">
                  <c:v>41</c:v>
                </c:pt>
                <c:pt idx="1165">
                  <c:v>35</c:v>
                </c:pt>
                <c:pt idx="1166">
                  <c:v>57</c:v>
                </c:pt>
                <c:pt idx="1167">
                  <c:v>29</c:v>
                </c:pt>
                <c:pt idx="1168">
                  <c:v>32</c:v>
                </c:pt>
                <c:pt idx="1169">
                  <c:v>37</c:v>
                </c:pt>
                <c:pt idx="1170">
                  <c:v>18</c:v>
                </c:pt>
                <c:pt idx="1171">
                  <c:v>43</c:v>
                </c:pt>
                <c:pt idx="1172">
                  <c:v>56</c:v>
                </c:pt>
                <c:pt idx="1173">
                  <c:v>38</c:v>
                </c:pt>
                <c:pt idx="1174">
                  <c:v>29</c:v>
                </c:pt>
                <c:pt idx="1175">
                  <c:v>22</c:v>
                </c:pt>
                <c:pt idx="1176">
                  <c:v>52</c:v>
                </c:pt>
                <c:pt idx="1177">
                  <c:v>40</c:v>
                </c:pt>
                <c:pt idx="1178">
                  <c:v>23</c:v>
                </c:pt>
                <c:pt idx="1179">
                  <c:v>31</c:v>
                </c:pt>
                <c:pt idx="1180">
                  <c:v>42</c:v>
                </c:pt>
                <c:pt idx="1181">
                  <c:v>24</c:v>
                </c:pt>
                <c:pt idx="1182">
                  <c:v>25</c:v>
                </c:pt>
                <c:pt idx="1183">
                  <c:v>48</c:v>
                </c:pt>
                <c:pt idx="1184">
                  <c:v>23</c:v>
                </c:pt>
                <c:pt idx="1185">
                  <c:v>45</c:v>
                </c:pt>
                <c:pt idx="1186">
                  <c:v>20</c:v>
                </c:pt>
                <c:pt idx="1187">
                  <c:v>62</c:v>
                </c:pt>
                <c:pt idx="1188">
                  <c:v>43</c:v>
                </c:pt>
                <c:pt idx="1189">
                  <c:v>23</c:v>
                </c:pt>
                <c:pt idx="1190">
                  <c:v>31</c:v>
                </c:pt>
                <c:pt idx="1191">
                  <c:v>41</c:v>
                </c:pt>
                <c:pt idx="1192">
                  <c:v>58</c:v>
                </c:pt>
                <c:pt idx="1193">
                  <c:v>48</c:v>
                </c:pt>
                <c:pt idx="1194">
                  <c:v>31</c:v>
                </c:pt>
                <c:pt idx="1195">
                  <c:v>19</c:v>
                </c:pt>
                <c:pt idx="1196">
                  <c:v>19</c:v>
                </c:pt>
                <c:pt idx="1197">
                  <c:v>41</c:v>
                </c:pt>
                <c:pt idx="1198">
                  <c:v>40</c:v>
                </c:pt>
                <c:pt idx="1199">
                  <c:v>31</c:v>
                </c:pt>
                <c:pt idx="1200">
                  <c:v>37</c:v>
                </c:pt>
                <c:pt idx="1201">
                  <c:v>46</c:v>
                </c:pt>
                <c:pt idx="1202">
                  <c:v>22</c:v>
                </c:pt>
                <c:pt idx="1203">
                  <c:v>51</c:v>
                </c:pt>
                <c:pt idx="1204">
                  <c:v>18</c:v>
                </c:pt>
                <c:pt idx="1205">
                  <c:v>35</c:v>
                </c:pt>
                <c:pt idx="1206">
                  <c:v>59</c:v>
                </c:pt>
                <c:pt idx="1207">
                  <c:v>36</c:v>
                </c:pt>
                <c:pt idx="1208">
                  <c:v>37</c:v>
                </c:pt>
                <c:pt idx="1209">
                  <c:v>59</c:v>
                </c:pt>
                <c:pt idx="1210">
                  <c:v>36</c:v>
                </c:pt>
                <c:pt idx="1211">
                  <c:v>39</c:v>
                </c:pt>
                <c:pt idx="1212">
                  <c:v>18</c:v>
                </c:pt>
                <c:pt idx="1213">
                  <c:v>52</c:v>
                </c:pt>
                <c:pt idx="1214">
                  <c:v>27</c:v>
                </c:pt>
                <c:pt idx="1215">
                  <c:v>18</c:v>
                </c:pt>
                <c:pt idx="1216">
                  <c:v>40</c:v>
                </c:pt>
                <c:pt idx="1217">
                  <c:v>29</c:v>
                </c:pt>
                <c:pt idx="1218">
                  <c:v>46</c:v>
                </c:pt>
                <c:pt idx="1219">
                  <c:v>38</c:v>
                </c:pt>
                <c:pt idx="1220">
                  <c:v>30</c:v>
                </c:pt>
                <c:pt idx="1221">
                  <c:v>40</c:v>
                </c:pt>
                <c:pt idx="1222">
                  <c:v>50</c:v>
                </c:pt>
                <c:pt idx="1223">
                  <c:v>20</c:v>
                </c:pt>
                <c:pt idx="1224">
                  <c:v>41</c:v>
                </c:pt>
                <c:pt idx="1225">
                  <c:v>33</c:v>
                </c:pt>
                <c:pt idx="1226">
                  <c:v>38</c:v>
                </c:pt>
                <c:pt idx="1227">
                  <c:v>42</c:v>
                </c:pt>
                <c:pt idx="1228">
                  <c:v>56</c:v>
                </c:pt>
                <c:pt idx="1229">
                  <c:v>58</c:v>
                </c:pt>
                <c:pt idx="1230">
                  <c:v>52</c:v>
                </c:pt>
                <c:pt idx="1231">
                  <c:v>20</c:v>
                </c:pt>
                <c:pt idx="1232">
                  <c:v>54</c:v>
                </c:pt>
                <c:pt idx="1233">
                  <c:v>58</c:v>
                </c:pt>
                <c:pt idx="1234">
                  <c:v>45</c:v>
                </c:pt>
                <c:pt idx="1235">
                  <c:v>26</c:v>
                </c:pt>
                <c:pt idx="1236">
                  <c:v>63</c:v>
                </c:pt>
                <c:pt idx="1237">
                  <c:v>58</c:v>
                </c:pt>
                <c:pt idx="1238">
                  <c:v>37</c:v>
                </c:pt>
                <c:pt idx="1239">
                  <c:v>25</c:v>
                </c:pt>
                <c:pt idx="1240">
                  <c:v>52</c:v>
                </c:pt>
                <c:pt idx="1241">
                  <c:v>64</c:v>
                </c:pt>
                <c:pt idx="1242">
                  <c:v>22</c:v>
                </c:pt>
                <c:pt idx="1243">
                  <c:v>28</c:v>
                </c:pt>
                <c:pt idx="1244">
                  <c:v>18</c:v>
                </c:pt>
                <c:pt idx="1245">
                  <c:v>28</c:v>
                </c:pt>
                <c:pt idx="1246">
                  <c:v>45</c:v>
                </c:pt>
                <c:pt idx="1247">
                  <c:v>33</c:v>
                </c:pt>
                <c:pt idx="1248">
                  <c:v>18</c:v>
                </c:pt>
                <c:pt idx="1249">
                  <c:v>32</c:v>
                </c:pt>
                <c:pt idx="1250">
                  <c:v>24</c:v>
                </c:pt>
                <c:pt idx="1251">
                  <c:v>19</c:v>
                </c:pt>
                <c:pt idx="1252">
                  <c:v>20</c:v>
                </c:pt>
                <c:pt idx="1253">
                  <c:v>40</c:v>
                </c:pt>
                <c:pt idx="1254">
                  <c:v>34</c:v>
                </c:pt>
                <c:pt idx="1255">
                  <c:v>42</c:v>
                </c:pt>
                <c:pt idx="1256">
                  <c:v>51</c:v>
                </c:pt>
                <c:pt idx="1257">
                  <c:v>54</c:v>
                </c:pt>
                <c:pt idx="1258">
                  <c:v>55</c:v>
                </c:pt>
                <c:pt idx="1259">
                  <c:v>52</c:v>
                </c:pt>
                <c:pt idx="1260">
                  <c:v>32</c:v>
                </c:pt>
                <c:pt idx="1261">
                  <c:v>28</c:v>
                </c:pt>
                <c:pt idx="1262">
                  <c:v>41</c:v>
                </c:pt>
                <c:pt idx="1263">
                  <c:v>43</c:v>
                </c:pt>
                <c:pt idx="1264">
                  <c:v>49</c:v>
                </c:pt>
                <c:pt idx="1265">
                  <c:v>64</c:v>
                </c:pt>
                <c:pt idx="1266">
                  <c:v>55</c:v>
                </c:pt>
                <c:pt idx="1267">
                  <c:v>24</c:v>
                </c:pt>
                <c:pt idx="1268">
                  <c:v>20</c:v>
                </c:pt>
                <c:pt idx="1269">
                  <c:v>45</c:v>
                </c:pt>
                <c:pt idx="1270">
                  <c:v>26</c:v>
                </c:pt>
                <c:pt idx="1271">
                  <c:v>25</c:v>
                </c:pt>
                <c:pt idx="1272">
                  <c:v>43</c:v>
                </c:pt>
                <c:pt idx="1273">
                  <c:v>35</c:v>
                </c:pt>
                <c:pt idx="1274">
                  <c:v>26</c:v>
                </c:pt>
                <c:pt idx="1275">
                  <c:v>57</c:v>
                </c:pt>
                <c:pt idx="1276">
                  <c:v>22</c:v>
                </c:pt>
                <c:pt idx="1277">
                  <c:v>32</c:v>
                </c:pt>
                <c:pt idx="1278">
                  <c:v>39</c:v>
                </c:pt>
                <c:pt idx="1279">
                  <c:v>25</c:v>
                </c:pt>
                <c:pt idx="1280">
                  <c:v>48</c:v>
                </c:pt>
                <c:pt idx="1281">
                  <c:v>47</c:v>
                </c:pt>
                <c:pt idx="1282">
                  <c:v>18</c:v>
                </c:pt>
                <c:pt idx="1283">
                  <c:v>18</c:v>
                </c:pt>
                <c:pt idx="1284">
                  <c:v>61</c:v>
                </c:pt>
                <c:pt idx="1285">
                  <c:v>47</c:v>
                </c:pt>
                <c:pt idx="1286">
                  <c:v>28</c:v>
                </c:pt>
                <c:pt idx="1287">
                  <c:v>36</c:v>
                </c:pt>
                <c:pt idx="1288">
                  <c:v>20</c:v>
                </c:pt>
                <c:pt idx="1289">
                  <c:v>44</c:v>
                </c:pt>
                <c:pt idx="1290">
                  <c:v>38</c:v>
                </c:pt>
                <c:pt idx="1291">
                  <c:v>19</c:v>
                </c:pt>
                <c:pt idx="1292">
                  <c:v>21</c:v>
                </c:pt>
                <c:pt idx="1293">
                  <c:v>46</c:v>
                </c:pt>
                <c:pt idx="1294">
                  <c:v>58</c:v>
                </c:pt>
                <c:pt idx="1295">
                  <c:v>20</c:v>
                </c:pt>
                <c:pt idx="1296">
                  <c:v>18</c:v>
                </c:pt>
                <c:pt idx="1297">
                  <c:v>28</c:v>
                </c:pt>
                <c:pt idx="1298">
                  <c:v>33</c:v>
                </c:pt>
                <c:pt idx="1299">
                  <c:v>19</c:v>
                </c:pt>
                <c:pt idx="1300">
                  <c:v>45</c:v>
                </c:pt>
                <c:pt idx="1301">
                  <c:v>62</c:v>
                </c:pt>
                <c:pt idx="1302">
                  <c:v>25</c:v>
                </c:pt>
                <c:pt idx="1303">
                  <c:v>43</c:v>
                </c:pt>
                <c:pt idx="1304">
                  <c:v>42</c:v>
                </c:pt>
                <c:pt idx="1305">
                  <c:v>24</c:v>
                </c:pt>
                <c:pt idx="1306">
                  <c:v>29</c:v>
                </c:pt>
                <c:pt idx="1307">
                  <c:v>32</c:v>
                </c:pt>
                <c:pt idx="1308">
                  <c:v>25</c:v>
                </c:pt>
                <c:pt idx="1309">
                  <c:v>41</c:v>
                </c:pt>
                <c:pt idx="1310">
                  <c:v>42</c:v>
                </c:pt>
                <c:pt idx="1311">
                  <c:v>33</c:v>
                </c:pt>
                <c:pt idx="1312">
                  <c:v>34</c:v>
                </c:pt>
                <c:pt idx="1313">
                  <c:v>19</c:v>
                </c:pt>
                <c:pt idx="1314">
                  <c:v>30</c:v>
                </c:pt>
                <c:pt idx="1315">
                  <c:v>18</c:v>
                </c:pt>
                <c:pt idx="1316">
                  <c:v>19</c:v>
                </c:pt>
                <c:pt idx="1317">
                  <c:v>18</c:v>
                </c:pt>
                <c:pt idx="1318">
                  <c:v>35</c:v>
                </c:pt>
                <c:pt idx="1319">
                  <c:v>39</c:v>
                </c:pt>
                <c:pt idx="1320">
                  <c:v>31</c:v>
                </c:pt>
                <c:pt idx="1321">
                  <c:v>62</c:v>
                </c:pt>
                <c:pt idx="1322">
                  <c:v>62</c:v>
                </c:pt>
                <c:pt idx="1323">
                  <c:v>42</c:v>
                </c:pt>
                <c:pt idx="1324">
                  <c:v>31</c:v>
                </c:pt>
                <c:pt idx="1325">
                  <c:v>61</c:v>
                </c:pt>
                <c:pt idx="1326">
                  <c:v>42</c:v>
                </c:pt>
                <c:pt idx="1327">
                  <c:v>51</c:v>
                </c:pt>
                <c:pt idx="1328">
                  <c:v>23</c:v>
                </c:pt>
                <c:pt idx="1329">
                  <c:v>52</c:v>
                </c:pt>
                <c:pt idx="1330">
                  <c:v>57</c:v>
                </c:pt>
                <c:pt idx="1331">
                  <c:v>23</c:v>
                </c:pt>
                <c:pt idx="1332">
                  <c:v>52</c:v>
                </c:pt>
                <c:pt idx="1333">
                  <c:v>50</c:v>
                </c:pt>
                <c:pt idx="1334">
                  <c:v>18</c:v>
                </c:pt>
                <c:pt idx="1335">
                  <c:v>18</c:v>
                </c:pt>
                <c:pt idx="1336">
                  <c:v>21</c:v>
                </c:pt>
                <c:pt idx="1337">
                  <c:v>61</c:v>
                </c:pt>
              </c:numCache>
            </c:numRef>
          </c:xVal>
          <c:yVal>
            <c:numRef>
              <c:f>insurance!$C$2:$C$1339</c:f>
              <c:numCache>
                <c:formatCode>General</c:formatCode>
                <c:ptCount val="1338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  <c:pt idx="937">
                  <c:v>24.225000000000001</c:v>
                </c:pt>
                <c:pt idx="938">
                  <c:v>26.18</c:v>
                </c:pt>
                <c:pt idx="939">
                  <c:v>29.48</c:v>
                </c:pt>
                <c:pt idx="940">
                  <c:v>23.21</c:v>
                </c:pt>
                <c:pt idx="941">
                  <c:v>46.09</c:v>
                </c:pt>
                <c:pt idx="942">
                  <c:v>40.185000000000002</c:v>
                </c:pt>
                <c:pt idx="943">
                  <c:v>22.61</c:v>
                </c:pt>
                <c:pt idx="944">
                  <c:v>39.93</c:v>
                </c:pt>
                <c:pt idx="945">
                  <c:v>35.799999999999997</c:v>
                </c:pt>
                <c:pt idx="946">
                  <c:v>35.799999999999997</c:v>
                </c:pt>
                <c:pt idx="947">
                  <c:v>34.200000000000003</c:v>
                </c:pt>
                <c:pt idx="948">
                  <c:v>31.254999999999999</c:v>
                </c:pt>
                <c:pt idx="949">
                  <c:v>29.7</c:v>
                </c:pt>
                <c:pt idx="950">
                  <c:v>18.335000000000001</c:v>
                </c:pt>
                <c:pt idx="951">
                  <c:v>42.9</c:v>
                </c:pt>
                <c:pt idx="952">
                  <c:v>28.405000000000001</c:v>
                </c:pt>
                <c:pt idx="953">
                  <c:v>30.2</c:v>
                </c:pt>
                <c:pt idx="954">
                  <c:v>27.835000000000001</c:v>
                </c:pt>
                <c:pt idx="955">
                  <c:v>39.49</c:v>
                </c:pt>
                <c:pt idx="956">
                  <c:v>30.8</c:v>
                </c:pt>
                <c:pt idx="957">
                  <c:v>26.79</c:v>
                </c:pt>
                <c:pt idx="958">
                  <c:v>34.96</c:v>
                </c:pt>
                <c:pt idx="959">
                  <c:v>36.67</c:v>
                </c:pt>
                <c:pt idx="960">
                  <c:v>39.615000000000002</c:v>
                </c:pt>
                <c:pt idx="961">
                  <c:v>25.9</c:v>
                </c:pt>
                <c:pt idx="962">
                  <c:v>35.200000000000003</c:v>
                </c:pt>
                <c:pt idx="963">
                  <c:v>24.795000000000002</c:v>
                </c:pt>
                <c:pt idx="964">
                  <c:v>36.765000000000001</c:v>
                </c:pt>
                <c:pt idx="965">
                  <c:v>27.1</c:v>
                </c:pt>
                <c:pt idx="966">
                  <c:v>24.795000000000002</c:v>
                </c:pt>
                <c:pt idx="967">
                  <c:v>25.364999999999998</c:v>
                </c:pt>
                <c:pt idx="968">
                  <c:v>25.745000000000001</c:v>
                </c:pt>
                <c:pt idx="969">
                  <c:v>34.32</c:v>
                </c:pt>
                <c:pt idx="970">
                  <c:v>28.16</c:v>
                </c:pt>
                <c:pt idx="971">
                  <c:v>23.56</c:v>
                </c:pt>
                <c:pt idx="972">
                  <c:v>20.234999999999999</c:v>
                </c:pt>
                <c:pt idx="973">
                  <c:v>40.5</c:v>
                </c:pt>
                <c:pt idx="974">
                  <c:v>35.42</c:v>
                </c:pt>
                <c:pt idx="975">
                  <c:v>22.895</c:v>
                </c:pt>
                <c:pt idx="976">
                  <c:v>40.15</c:v>
                </c:pt>
                <c:pt idx="977">
                  <c:v>29.15</c:v>
                </c:pt>
                <c:pt idx="978">
                  <c:v>39.994999999999997</c:v>
                </c:pt>
                <c:pt idx="979">
                  <c:v>29.92</c:v>
                </c:pt>
                <c:pt idx="980">
                  <c:v>25.46</c:v>
                </c:pt>
                <c:pt idx="981">
                  <c:v>21.375</c:v>
                </c:pt>
                <c:pt idx="982">
                  <c:v>25.9</c:v>
                </c:pt>
                <c:pt idx="983">
                  <c:v>30.59</c:v>
                </c:pt>
                <c:pt idx="984">
                  <c:v>30.114999999999998</c:v>
                </c:pt>
                <c:pt idx="985">
                  <c:v>25.8</c:v>
                </c:pt>
                <c:pt idx="986">
                  <c:v>30.114999999999998</c:v>
                </c:pt>
                <c:pt idx="987">
                  <c:v>27.645</c:v>
                </c:pt>
                <c:pt idx="988">
                  <c:v>34.674999999999997</c:v>
                </c:pt>
                <c:pt idx="989">
                  <c:v>20.52</c:v>
                </c:pt>
                <c:pt idx="990">
                  <c:v>19.8</c:v>
                </c:pt>
                <c:pt idx="991">
                  <c:v>27.835000000000001</c:v>
                </c:pt>
                <c:pt idx="992">
                  <c:v>31.6</c:v>
                </c:pt>
                <c:pt idx="993">
                  <c:v>28.27</c:v>
                </c:pt>
                <c:pt idx="994">
                  <c:v>20.045000000000002</c:v>
                </c:pt>
                <c:pt idx="995">
                  <c:v>23.274999999999999</c:v>
                </c:pt>
                <c:pt idx="996">
                  <c:v>34.1</c:v>
                </c:pt>
                <c:pt idx="997">
                  <c:v>36.85</c:v>
                </c:pt>
                <c:pt idx="998">
                  <c:v>36.29</c:v>
                </c:pt>
                <c:pt idx="999">
                  <c:v>26.885000000000002</c:v>
                </c:pt>
                <c:pt idx="1000">
                  <c:v>22.99</c:v>
                </c:pt>
                <c:pt idx="1001">
                  <c:v>32.700000000000003</c:v>
                </c:pt>
                <c:pt idx="1002">
                  <c:v>25.8</c:v>
                </c:pt>
                <c:pt idx="1003">
                  <c:v>29.6</c:v>
                </c:pt>
                <c:pt idx="1004">
                  <c:v>19.190000000000001</c:v>
                </c:pt>
                <c:pt idx="1005">
                  <c:v>31.73</c:v>
                </c:pt>
                <c:pt idx="1006">
                  <c:v>29.26</c:v>
                </c:pt>
                <c:pt idx="1007">
                  <c:v>28.215</c:v>
                </c:pt>
                <c:pt idx="1008">
                  <c:v>24.984999999999999</c:v>
                </c:pt>
                <c:pt idx="1009">
                  <c:v>27.74</c:v>
                </c:pt>
                <c:pt idx="1010">
                  <c:v>22.8</c:v>
                </c:pt>
                <c:pt idx="1011">
                  <c:v>20.13</c:v>
                </c:pt>
                <c:pt idx="1012">
                  <c:v>33.33</c:v>
                </c:pt>
                <c:pt idx="1013">
                  <c:v>32.299999999999997</c:v>
                </c:pt>
                <c:pt idx="1014">
                  <c:v>27.6</c:v>
                </c:pt>
                <c:pt idx="1015">
                  <c:v>25.46</c:v>
                </c:pt>
                <c:pt idx="1016">
                  <c:v>24.605</c:v>
                </c:pt>
                <c:pt idx="1017">
                  <c:v>34.200000000000003</c:v>
                </c:pt>
                <c:pt idx="1018">
                  <c:v>35.814999999999998</c:v>
                </c:pt>
                <c:pt idx="1019">
                  <c:v>32.68</c:v>
                </c:pt>
                <c:pt idx="1020">
                  <c:v>37</c:v>
                </c:pt>
                <c:pt idx="1021">
                  <c:v>31.02</c:v>
                </c:pt>
                <c:pt idx="1022">
                  <c:v>36.08</c:v>
                </c:pt>
                <c:pt idx="1023">
                  <c:v>23.32</c:v>
                </c:pt>
                <c:pt idx="1024">
                  <c:v>45.32</c:v>
                </c:pt>
                <c:pt idx="1025">
                  <c:v>34.6</c:v>
                </c:pt>
                <c:pt idx="1026">
                  <c:v>26.03</c:v>
                </c:pt>
                <c:pt idx="1027">
                  <c:v>18.715</c:v>
                </c:pt>
                <c:pt idx="1028">
                  <c:v>31.6</c:v>
                </c:pt>
                <c:pt idx="1029">
                  <c:v>17.29</c:v>
                </c:pt>
                <c:pt idx="1030">
                  <c:v>23.655000000000001</c:v>
                </c:pt>
                <c:pt idx="1031">
                  <c:v>35.200000000000003</c:v>
                </c:pt>
                <c:pt idx="1032">
                  <c:v>27.93</c:v>
                </c:pt>
                <c:pt idx="1033">
                  <c:v>21.565000000000001</c:v>
                </c:pt>
                <c:pt idx="1034">
                  <c:v>38.380000000000003</c:v>
                </c:pt>
                <c:pt idx="1035">
                  <c:v>23</c:v>
                </c:pt>
                <c:pt idx="1036">
                  <c:v>37.07</c:v>
                </c:pt>
                <c:pt idx="1037">
                  <c:v>30.495000000000001</c:v>
                </c:pt>
                <c:pt idx="1038">
                  <c:v>28.88</c:v>
                </c:pt>
                <c:pt idx="1039">
                  <c:v>27.265000000000001</c:v>
                </c:pt>
                <c:pt idx="1040">
                  <c:v>28.024999999999999</c:v>
                </c:pt>
                <c:pt idx="1041">
                  <c:v>23.085000000000001</c:v>
                </c:pt>
                <c:pt idx="1042">
                  <c:v>30.684999999999999</c:v>
                </c:pt>
                <c:pt idx="1043">
                  <c:v>25.8</c:v>
                </c:pt>
                <c:pt idx="1044">
                  <c:v>35.244999999999997</c:v>
                </c:pt>
                <c:pt idx="1045">
                  <c:v>24.7</c:v>
                </c:pt>
                <c:pt idx="1046">
                  <c:v>25.08</c:v>
                </c:pt>
                <c:pt idx="1047">
                  <c:v>52.58</c:v>
                </c:pt>
                <c:pt idx="1048">
                  <c:v>22.515000000000001</c:v>
                </c:pt>
                <c:pt idx="1049">
                  <c:v>30.9</c:v>
                </c:pt>
                <c:pt idx="1050">
                  <c:v>36.954999999999998</c:v>
                </c:pt>
                <c:pt idx="1051">
                  <c:v>26.41</c:v>
                </c:pt>
                <c:pt idx="1052">
                  <c:v>29.83</c:v>
                </c:pt>
                <c:pt idx="1053">
                  <c:v>29.8</c:v>
                </c:pt>
                <c:pt idx="1054">
                  <c:v>21.47</c:v>
                </c:pt>
                <c:pt idx="1055">
                  <c:v>27.645</c:v>
                </c:pt>
                <c:pt idx="1056">
                  <c:v>28.9</c:v>
                </c:pt>
                <c:pt idx="1057">
                  <c:v>31.79</c:v>
                </c:pt>
                <c:pt idx="1058">
                  <c:v>39.49</c:v>
                </c:pt>
                <c:pt idx="1059">
                  <c:v>33.82</c:v>
                </c:pt>
                <c:pt idx="1060">
                  <c:v>32.01</c:v>
                </c:pt>
                <c:pt idx="1061">
                  <c:v>27.94</c:v>
                </c:pt>
                <c:pt idx="1062">
                  <c:v>41.14</c:v>
                </c:pt>
                <c:pt idx="1063">
                  <c:v>28.594999999999999</c:v>
                </c:pt>
                <c:pt idx="1064">
                  <c:v>25.6</c:v>
                </c:pt>
                <c:pt idx="1065">
                  <c:v>25.3</c:v>
                </c:pt>
                <c:pt idx="1066">
                  <c:v>37.29</c:v>
                </c:pt>
                <c:pt idx="1067">
                  <c:v>42.655000000000001</c:v>
                </c:pt>
                <c:pt idx="1068">
                  <c:v>21.66</c:v>
                </c:pt>
                <c:pt idx="1069">
                  <c:v>31.9</c:v>
                </c:pt>
                <c:pt idx="1070">
                  <c:v>37.07</c:v>
                </c:pt>
                <c:pt idx="1071">
                  <c:v>31.445</c:v>
                </c:pt>
                <c:pt idx="1072">
                  <c:v>31.254999999999999</c:v>
                </c:pt>
                <c:pt idx="1073">
                  <c:v>28.88</c:v>
                </c:pt>
                <c:pt idx="1074">
                  <c:v>18.335000000000001</c:v>
                </c:pt>
                <c:pt idx="1075">
                  <c:v>29.59</c:v>
                </c:pt>
                <c:pt idx="1076">
                  <c:v>32</c:v>
                </c:pt>
                <c:pt idx="1077">
                  <c:v>26.03</c:v>
                </c:pt>
                <c:pt idx="1078">
                  <c:v>31.68</c:v>
                </c:pt>
                <c:pt idx="1079">
                  <c:v>33.659999999999997</c:v>
                </c:pt>
                <c:pt idx="1080">
                  <c:v>21.78</c:v>
                </c:pt>
                <c:pt idx="1081">
                  <c:v>27.835000000000001</c:v>
                </c:pt>
                <c:pt idx="1082">
                  <c:v>19.95</c:v>
                </c:pt>
                <c:pt idx="1083">
                  <c:v>31.5</c:v>
                </c:pt>
                <c:pt idx="1084">
                  <c:v>30.495000000000001</c:v>
                </c:pt>
                <c:pt idx="1085">
                  <c:v>18.3</c:v>
                </c:pt>
                <c:pt idx="1086">
                  <c:v>28.975000000000001</c:v>
                </c:pt>
                <c:pt idx="1087">
                  <c:v>31.54</c:v>
                </c:pt>
                <c:pt idx="1088">
                  <c:v>47.74</c:v>
                </c:pt>
                <c:pt idx="1089">
                  <c:v>22.1</c:v>
                </c:pt>
                <c:pt idx="1090">
                  <c:v>36.19</c:v>
                </c:pt>
                <c:pt idx="1091">
                  <c:v>29.83</c:v>
                </c:pt>
                <c:pt idx="1092">
                  <c:v>32.700000000000003</c:v>
                </c:pt>
                <c:pt idx="1093">
                  <c:v>30.4</c:v>
                </c:pt>
                <c:pt idx="1094">
                  <c:v>33.700000000000003</c:v>
                </c:pt>
                <c:pt idx="1095">
                  <c:v>31.35</c:v>
                </c:pt>
                <c:pt idx="1096">
                  <c:v>34.96</c:v>
                </c:pt>
                <c:pt idx="1097">
                  <c:v>33.770000000000003</c:v>
                </c:pt>
                <c:pt idx="1098">
                  <c:v>30.875</c:v>
                </c:pt>
                <c:pt idx="1099">
                  <c:v>33.99</c:v>
                </c:pt>
                <c:pt idx="1100">
                  <c:v>19.094999999999999</c:v>
                </c:pt>
                <c:pt idx="1101">
                  <c:v>28.6</c:v>
                </c:pt>
                <c:pt idx="1102">
                  <c:v>38.94</c:v>
                </c:pt>
                <c:pt idx="1103">
                  <c:v>36.08</c:v>
                </c:pt>
                <c:pt idx="1104">
                  <c:v>29.8</c:v>
                </c:pt>
                <c:pt idx="1105">
                  <c:v>31.24</c:v>
                </c:pt>
                <c:pt idx="1106">
                  <c:v>29.925000000000001</c:v>
                </c:pt>
                <c:pt idx="1107">
                  <c:v>26.22</c:v>
                </c:pt>
                <c:pt idx="1108">
                  <c:v>30</c:v>
                </c:pt>
                <c:pt idx="1109">
                  <c:v>20.350000000000001</c:v>
                </c:pt>
                <c:pt idx="1110">
                  <c:v>32.299999999999997</c:v>
                </c:pt>
                <c:pt idx="1111">
                  <c:v>38.39</c:v>
                </c:pt>
                <c:pt idx="1112">
                  <c:v>25.85</c:v>
                </c:pt>
                <c:pt idx="1113">
                  <c:v>26.315000000000001</c:v>
                </c:pt>
                <c:pt idx="1114">
                  <c:v>24.51</c:v>
                </c:pt>
                <c:pt idx="1115">
                  <c:v>32.67</c:v>
                </c:pt>
                <c:pt idx="1116">
                  <c:v>29.64</c:v>
                </c:pt>
                <c:pt idx="1117">
                  <c:v>33.33</c:v>
                </c:pt>
                <c:pt idx="1118">
                  <c:v>35.75</c:v>
                </c:pt>
                <c:pt idx="1119">
                  <c:v>19.95</c:v>
                </c:pt>
                <c:pt idx="1120">
                  <c:v>31.4</c:v>
                </c:pt>
                <c:pt idx="1121">
                  <c:v>38.17</c:v>
                </c:pt>
                <c:pt idx="1122">
                  <c:v>36.86</c:v>
                </c:pt>
                <c:pt idx="1123">
                  <c:v>32.395000000000003</c:v>
                </c:pt>
                <c:pt idx="1124">
                  <c:v>42.75</c:v>
                </c:pt>
                <c:pt idx="1125">
                  <c:v>25.08</c:v>
                </c:pt>
                <c:pt idx="1126">
                  <c:v>29.9</c:v>
                </c:pt>
                <c:pt idx="1127">
                  <c:v>35.86</c:v>
                </c:pt>
                <c:pt idx="1128">
                  <c:v>32.799999999999997</c:v>
                </c:pt>
                <c:pt idx="1129">
                  <c:v>18.600000000000001</c:v>
                </c:pt>
                <c:pt idx="1130">
                  <c:v>23.87</c:v>
                </c:pt>
                <c:pt idx="1131">
                  <c:v>45.9</c:v>
                </c:pt>
                <c:pt idx="1132">
                  <c:v>40.28</c:v>
                </c:pt>
                <c:pt idx="1133">
                  <c:v>18.335000000000001</c:v>
                </c:pt>
                <c:pt idx="1134">
                  <c:v>33.82</c:v>
                </c:pt>
                <c:pt idx="1135">
                  <c:v>28.12</c:v>
                </c:pt>
                <c:pt idx="1136">
                  <c:v>25</c:v>
                </c:pt>
                <c:pt idx="1137">
                  <c:v>22.23</c:v>
                </c:pt>
                <c:pt idx="1138">
                  <c:v>30.25</c:v>
                </c:pt>
                <c:pt idx="1139">
                  <c:v>32.49</c:v>
                </c:pt>
                <c:pt idx="1140">
                  <c:v>37.07</c:v>
                </c:pt>
                <c:pt idx="1141">
                  <c:v>32.6</c:v>
                </c:pt>
                <c:pt idx="1142">
                  <c:v>24.86</c:v>
                </c:pt>
                <c:pt idx="1143">
                  <c:v>32.340000000000003</c:v>
                </c:pt>
                <c:pt idx="1144">
                  <c:v>32.299999999999997</c:v>
                </c:pt>
                <c:pt idx="1145">
                  <c:v>32.774999999999999</c:v>
                </c:pt>
                <c:pt idx="1146">
                  <c:v>32.799999999999997</c:v>
                </c:pt>
                <c:pt idx="1147">
                  <c:v>31.92</c:v>
                </c:pt>
                <c:pt idx="1148">
                  <c:v>21.5</c:v>
                </c:pt>
                <c:pt idx="1149">
                  <c:v>34.1</c:v>
                </c:pt>
                <c:pt idx="1150">
                  <c:v>30.305</c:v>
                </c:pt>
                <c:pt idx="1151">
                  <c:v>36.479999999999997</c:v>
                </c:pt>
                <c:pt idx="1152">
                  <c:v>32.56</c:v>
                </c:pt>
                <c:pt idx="1153">
                  <c:v>35.814999999999998</c:v>
                </c:pt>
                <c:pt idx="1154">
                  <c:v>27.93</c:v>
                </c:pt>
                <c:pt idx="1155">
                  <c:v>22.135000000000002</c:v>
                </c:pt>
                <c:pt idx="1156">
                  <c:v>44.88</c:v>
                </c:pt>
                <c:pt idx="1157">
                  <c:v>23.18</c:v>
                </c:pt>
                <c:pt idx="1158">
                  <c:v>30.59</c:v>
                </c:pt>
                <c:pt idx="1159">
                  <c:v>41.1</c:v>
                </c:pt>
                <c:pt idx="1160">
                  <c:v>34.58</c:v>
                </c:pt>
                <c:pt idx="1161">
                  <c:v>42.13</c:v>
                </c:pt>
                <c:pt idx="1162">
                  <c:v>38.83</c:v>
                </c:pt>
                <c:pt idx="1163">
                  <c:v>28.215</c:v>
                </c:pt>
                <c:pt idx="1164">
                  <c:v>28.31</c:v>
                </c:pt>
                <c:pt idx="1165">
                  <c:v>26.125</c:v>
                </c:pt>
                <c:pt idx="1166">
                  <c:v>40.369999999999997</c:v>
                </c:pt>
                <c:pt idx="1167">
                  <c:v>24.6</c:v>
                </c:pt>
                <c:pt idx="1168">
                  <c:v>35.200000000000003</c:v>
                </c:pt>
                <c:pt idx="1169">
                  <c:v>34.104999999999997</c:v>
                </c:pt>
                <c:pt idx="1170">
                  <c:v>27.36</c:v>
                </c:pt>
                <c:pt idx="1171">
                  <c:v>26.7</c:v>
                </c:pt>
                <c:pt idx="1172">
                  <c:v>41.91</c:v>
                </c:pt>
                <c:pt idx="1173">
                  <c:v>29.26</c:v>
                </c:pt>
                <c:pt idx="1174">
                  <c:v>32.11</c:v>
                </c:pt>
                <c:pt idx="1175">
                  <c:v>27.1</c:v>
                </c:pt>
                <c:pt idx="1176">
                  <c:v>24.13</c:v>
                </c:pt>
                <c:pt idx="1177">
                  <c:v>27.4</c:v>
                </c:pt>
                <c:pt idx="1178">
                  <c:v>34.865000000000002</c:v>
                </c:pt>
                <c:pt idx="1179">
                  <c:v>29.81</c:v>
                </c:pt>
                <c:pt idx="1180">
                  <c:v>41.325000000000003</c:v>
                </c:pt>
                <c:pt idx="1181">
                  <c:v>29.925000000000001</c:v>
                </c:pt>
                <c:pt idx="1182">
                  <c:v>30.3</c:v>
                </c:pt>
                <c:pt idx="1183">
                  <c:v>27.36</c:v>
                </c:pt>
                <c:pt idx="1184">
                  <c:v>28.49</c:v>
                </c:pt>
                <c:pt idx="1185">
                  <c:v>23.56</c:v>
                </c:pt>
                <c:pt idx="1186">
                  <c:v>35.625</c:v>
                </c:pt>
                <c:pt idx="1187">
                  <c:v>32.68</c:v>
                </c:pt>
                <c:pt idx="1188">
                  <c:v>25.27</c:v>
                </c:pt>
                <c:pt idx="1189">
                  <c:v>28</c:v>
                </c:pt>
                <c:pt idx="1190">
                  <c:v>32.774999999999999</c:v>
                </c:pt>
                <c:pt idx="1191">
                  <c:v>21.754999999999999</c:v>
                </c:pt>
                <c:pt idx="1192">
                  <c:v>32.395000000000003</c:v>
                </c:pt>
                <c:pt idx="1193">
                  <c:v>36.575000000000003</c:v>
                </c:pt>
                <c:pt idx="1194">
                  <c:v>21.754999999999999</c:v>
                </c:pt>
                <c:pt idx="1195">
                  <c:v>27.93</c:v>
                </c:pt>
                <c:pt idx="1196">
                  <c:v>30.02</c:v>
                </c:pt>
                <c:pt idx="1197">
                  <c:v>33.549999999999997</c:v>
                </c:pt>
                <c:pt idx="1198">
                  <c:v>29.355</c:v>
                </c:pt>
                <c:pt idx="1199">
                  <c:v>25.8</c:v>
                </c:pt>
                <c:pt idx="1200">
                  <c:v>24.32</c:v>
                </c:pt>
                <c:pt idx="1201">
                  <c:v>40.375</c:v>
                </c:pt>
                <c:pt idx="1202">
                  <c:v>32.11</c:v>
                </c:pt>
                <c:pt idx="1203">
                  <c:v>32.299999999999997</c:v>
                </c:pt>
                <c:pt idx="1204">
                  <c:v>27.28</c:v>
                </c:pt>
                <c:pt idx="1205">
                  <c:v>17.86</c:v>
                </c:pt>
                <c:pt idx="1206">
                  <c:v>34.799999999999997</c:v>
                </c:pt>
                <c:pt idx="1207">
                  <c:v>33.4</c:v>
                </c:pt>
                <c:pt idx="1208">
                  <c:v>25.555</c:v>
                </c:pt>
                <c:pt idx="1209">
                  <c:v>37.1</c:v>
                </c:pt>
                <c:pt idx="1210">
                  <c:v>30.875</c:v>
                </c:pt>
                <c:pt idx="1211">
                  <c:v>34.1</c:v>
                </c:pt>
                <c:pt idx="1212">
                  <c:v>21.47</c:v>
                </c:pt>
                <c:pt idx="1213">
                  <c:v>33.299999999999997</c:v>
                </c:pt>
                <c:pt idx="1214">
                  <c:v>31.254999999999999</c:v>
                </c:pt>
                <c:pt idx="1215">
                  <c:v>39.14</c:v>
                </c:pt>
                <c:pt idx="1216">
                  <c:v>25.08</c:v>
                </c:pt>
                <c:pt idx="1217">
                  <c:v>37.29</c:v>
                </c:pt>
                <c:pt idx="1218">
                  <c:v>34.6</c:v>
                </c:pt>
                <c:pt idx="1219">
                  <c:v>30.21</c:v>
                </c:pt>
                <c:pt idx="1220">
                  <c:v>21.945</c:v>
                </c:pt>
                <c:pt idx="1221">
                  <c:v>24.97</c:v>
                </c:pt>
                <c:pt idx="1222">
                  <c:v>25.3</c:v>
                </c:pt>
                <c:pt idx="1223">
                  <c:v>24.42</c:v>
                </c:pt>
                <c:pt idx="1224">
                  <c:v>23.94</c:v>
                </c:pt>
                <c:pt idx="1225">
                  <c:v>39.82</c:v>
                </c:pt>
                <c:pt idx="1226">
                  <c:v>16.815000000000001</c:v>
                </c:pt>
                <c:pt idx="1227">
                  <c:v>37.18</c:v>
                </c:pt>
                <c:pt idx="1228">
                  <c:v>34.43</c:v>
                </c:pt>
                <c:pt idx="1229">
                  <c:v>30.305</c:v>
                </c:pt>
                <c:pt idx="1230">
                  <c:v>34.484999999999999</c:v>
                </c:pt>
                <c:pt idx="1231">
                  <c:v>21.8</c:v>
                </c:pt>
                <c:pt idx="1232">
                  <c:v>24.605</c:v>
                </c:pt>
                <c:pt idx="1233">
                  <c:v>23.3</c:v>
                </c:pt>
                <c:pt idx="1234">
                  <c:v>27.83</c:v>
                </c:pt>
                <c:pt idx="1235">
                  <c:v>31.065000000000001</c:v>
                </c:pt>
                <c:pt idx="1236">
                  <c:v>21.66</c:v>
                </c:pt>
                <c:pt idx="1237">
                  <c:v>28.215</c:v>
                </c:pt>
                <c:pt idx="1238">
                  <c:v>22.704999999999998</c:v>
                </c:pt>
                <c:pt idx="1239">
                  <c:v>42.13</c:v>
                </c:pt>
                <c:pt idx="1240">
                  <c:v>41.8</c:v>
                </c:pt>
                <c:pt idx="1241">
                  <c:v>36.96</c:v>
                </c:pt>
                <c:pt idx="1242">
                  <c:v>21.28</c:v>
                </c:pt>
                <c:pt idx="1243">
                  <c:v>33.11</c:v>
                </c:pt>
                <c:pt idx="1244">
                  <c:v>33.33</c:v>
                </c:pt>
                <c:pt idx="1245">
                  <c:v>24.3</c:v>
                </c:pt>
                <c:pt idx="1246">
                  <c:v>25.7</c:v>
                </c:pt>
                <c:pt idx="1247">
                  <c:v>29.4</c:v>
                </c:pt>
                <c:pt idx="1248">
                  <c:v>39.82</c:v>
                </c:pt>
                <c:pt idx="1249">
                  <c:v>33.630000000000003</c:v>
                </c:pt>
                <c:pt idx="1250">
                  <c:v>29.83</c:v>
                </c:pt>
                <c:pt idx="1251">
                  <c:v>19.8</c:v>
                </c:pt>
                <c:pt idx="1252">
                  <c:v>27.3</c:v>
                </c:pt>
                <c:pt idx="1253">
                  <c:v>29.3</c:v>
                </c:pt>
                <c:pt idx="1254">
                  <c:v>27.72</c:v>
                </c:pt>
                <c:pt idx="1255">
                  <c:v>37.9</c:v>
                </c:pt>
                <c:pt idx="1256">
                  <c:v>36.384999999999998</c:v>
                </c:pt>
                <c:pt idx="1257">
                  <c:v>27.645</c:v>
                </c:pt>
                <c:pt idx="1258">
                  <c:v>37.715000000000003</c:v>
                </c:pt>
                <c:pt idx="1259">
                  <c:v>23.18</c:v>
                </c:pt>
                <c:pt idx="1260">
                  <c:v>20.52</c:v>
                </c:pt>
                <c:pt idx="1261">
                  <c:v>37.1</c:v>
                </c:pt>
                <c:pt idx="1262">
                  <c:v>28.05</c:v>
                </c:pt>
                <c:pt idx="1263">
                  <c:v>29.9</c:v>
                </c:pt>
                <c:pt idx="1264">
                  <c:v>33.344999999999999</c:v>
                </c:pt>
                <c:pt idx="1265">
                  <c:v>23.76</c:v>
                </c:pt>
                <c:pt idx="1266">
                  <c:v>30.5</c:v>
                </c:pt>
                <c:pt idx="1267">
                  <c:v>31.065000000000001</c:v>
                </c:pt>
                <c:pt idx="1268">
                  <c:v>33.299999999999997</c:v>
                </c:pt>
                <c:pt idx="1269">
                  <c:v>27.5</c:v>
                </c:pt>
                <c:pt idx="1270">
                  <c:v>33.914999999999999</c:v>
                </c:pt>
                <c:pt idx="1271">
                  <c:v>34.484999999999999</c:v>
                </c:pt>
                <c:pt idx="1272">
                  <c:v>25.52</c:v>
                </c:pt>
                <c:pt idx="1273">
                  <c:v>27.61</c:v>
                </c:pt>
                <c:pt idx="1274">
                  <c:v>27.06</c:v>
                </c:pt>
                <c:pt idx="1275">
                  <c:v>23.7</c:v>
                </c:pt>
                <c:pt idx="1276">
                  <c:v>30.4</c:v>
                </c:pt>
                <c:pt idx="1277">
                  <c:v>29.734999999999999</c:v>
                </c:pt>
                <c:pt idx="1278">
                  <c:v>29.925000000000001</c:v>
                </c:pt>
                <c:pt idx="1279">
                  <c:v>26.79</c:v>
                </c:pt>
                <c:pt idx="1280">
                  <c:v>33.33</c:v>
                </c:pt>
                <c:pt idx="1281">
                  <c:v>27.645</c:v>
                </c:pt>
                <c:pt idx="1282">
                  <c:v>21.66</c:v>
                </c:pt>
                <c:pt idx="1283">
                  <c:v>30.03</c:v>
                </c:pt>
                <c:pt idx="1284">
                  <c:v>36.299999999999997</c:v>
                </c:pt>
                <c:pt idx="1285">
                  <c:v>24.32</c:v>
                </c:pt>
                <c:pt idx="1286">
                  <c:v>17.29</c:v>
                </c:pt>
                <c:pt idx="1287">
                  <c:v>25.9</c:v>
                </c:pt>
                <c:pt idx="1288">
                  <c:v>39.4</c:v>
                </c:pt>
                <c:pt idx="1289">
                  <c:v>34.32</c:v>
                </c:pt>
                <c:pt idx="1290">
                  <c:v>19.95</c:v>
                </c:pt>
                <c:pt idx="1291">
                  <c:v>34.9</c:v>
                </c:pt>
                <c:pt idx="1292">
                  <c:v>23.21</c:v>
                </c:pt>
                <c:pt idx="1293">
                  <c:v>25.745000000000001</c:v>
                </c:pt>
                <c:pt idx="1294">
                  <c:v>25.175000000000001</c:v>
                </c:pt>
                <c:pt idx="1295">
                  <c:v>22</c:v>
                </c:pt>
                <c:pt idx="1296">
                  <c:v>26.125</c:v>
                </c:pt>
                <c:pt idx="1297">
                  <c:v>26.51</c:v>
                </c:pt>
                <c:pt idx="1298">
                  <c:v>27.454999999999998</c:v>
                </c:pt>
                <c:pt idx="1299">
                  <c:v>25.745000000000001</c:v>
                </c:pt>
                <c:pt idx="1300">
                  <c:v>30.36</c:v>
                </c:pt>
                <c:pt idx="1301">
                  <c:v>30.875</c:v>
                </c:pt>
                <c:pt idx="1302">
                  <c:v>20.8</c:v>
                </c:pt>
                <c:pt idx="1303">
                  <c:v>27.8</c:v>
                </c:pt>
                <c:pt idx="1304">
                  <c:v>24.605</c:v>
                </c:pt>
                <c:pt idx="1305">
                  <c:v>27.72</c:v>
                </c:pt>
                <c:pt idx="1306">
                  <c:v>21.85</c:v>
                </c:pt>
                <c:pt idx="1307">
                  <c:v>28.12</c:v>
                </c:pt>
                <c:pt idx="1308">
                  <c:v>30.2</c:v>
                </c:pt>
                <c:pt idx="1309">
                  <c:v>32.200000000000003</c:v>
                </c:pt>
                <c:pt idx="1310">
                  <c:v>26.315000000000001</c:v>
                </c:pt>
                <c:pt idx="1311">
                  <c:v>26.695</c:v>
                </c:pt>
                <c:pt idx="1312">
                  <c:v>42.9</c:v>
                </c:pt>
                <c:pt idx="1313">
                  <c:v>34.700000000000003</c:v>
                </c:pt>
                <c:pt idx="1314">
                  <c:v>23.655000000000001</c:v>
                </c:pt>
                <c:pt idx="1315">
                  <c:v>28.31</c:v>
                </c:pt>
                <c:pt idx="1316">
                  <c:v>20.6</c:v>
                </c:pt>
                <c:pt idx="1317">
                  <c:v>53.13</c:v>
                </c:pt>
                <c:pt idx="1318">
                  <c:v>39.71</c:v>
                </c:pt>
                <c:pt idx="1319">
                  <c:v>26.315000000000001</c:v>
                </c:pt>
                <c:pt idx="1320">
                  <c:v>31.065000000000001</c:v>
                </c:pt>
                <c:pt idx="1321">
                  <c:v>26.695</c:v>
                </c:pt>
                <c:pt idx="1322">
                  <c:v>38.83</c:v>
                </c:pt>
                <c:pt idx="1323">
                  <c:v>40.369999999999997</c:v>
                </c:pt>
                <c:pt idx="1324">
                  <c:v>25.934999999999999</c:v>
                </c:pt>
                <c:pt idx="1325">
                  <c:v>33.534999999999997</c:v>
                </c:pt>
                <c:pt idx="1326">
                  <c:v>32.869999999999997</c:v>
                </c:pt>
                <c:pt idx="1327">
                  <c:v>30.03</c:v>
                </c:pt>
                <c:pt idx="1328">
                  <c:v>24.225000000000001</c:v>
                </c:pt>
                <c:pt idx="1329">
                  <c:v>38.6</c:v>
                </c:pt>
                <c:pt idx="1330">
                  <c:v>25.74</c:v>
                </c:pt>
                <c:pt idx="1331">
                  <c:v>33.4</c:v>
                </c:pt>
                <c:pt idx="1332">
                  <c:v>44.7</c:v>
                </c:pt>
                <c:pt idx="1333">
                  <c:v>30.97</c:v>
                </c:pt>
                <c:pt idx="1334">
                  <c:v>31.92</c:v>
                </c:pt>
                <c:pt idx="1335">
                  <c:v>36.85</c:v>
                </c:pt>
                <c:pt idx="1336">
                  <c:v>25.8</c:v>
                </c:pt>
                <c:pt idx="1337">
                  <c:v>29.07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89-4441-8886-D167A0D7A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419807"/>
        <c:axId val="2072421519"/>
      </c:scatterChart>
      <c:valAx>
        <c:axId val="2072419807"/>
        <c:scaling>
          <c:orientation val="minMax"/>
        </c:scaling>
        <c:delete val="0"/>
        <c:axPos val="b"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72421519"/>
        <c:crosses val="autoZero"/>
        <c:crossBetween val="midCat"/>
      </c:valAx>
      <c:valAx>
        <c:axId val="2072421519"/>
        <c:scaling>
          <c:orientation val="minMax"/>
        </c:scaling>
        <c:delete val="0"/>
        <c:axPos val="l"/>
        <c:majorGridlines>
          <c:spPr>
            <a:ln>
              <a:solidFill>
                <a:srgbClr val="EEEEFF"/>
              </a:solidFill>
            </a:ln>
          </c:spPr>
        </c:majorGridlines>
        <c:numFmt formatCode="0.000" sourceLinked="0"/>
        <c:majorTickMark val="out"/>
        <c:minorTickMark val="none"/>
        <c:tickLblPos val="nextTo"/>
        <c:crossAx val="207241980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/>
            </a:pPr>
            <a:r>
              <a:rPr lang="en-GB" sz="1000" b="0"/>
              <a:t>bmi vs bmi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3"/>
            <c:spPr>
              <a:ln/>
            </c:spPr>
          </c:marker>
          <c:xVal>
            <c:numRef>
              <c:f>insurance!$C$2:$C$1339</c:f>
              <c:numCache>
                <c:formatCode>General</c:formatCode>
                <c:ptCount val="1338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  <c:pt idx="937">
                  <c:v>24.225000000000001</c:v>
                </c:pt>
                <c:pt idx="938">
                  <c:v>26.18</c:v>
                </c:pt>
                <c:pt idx="939">
                  <c:v>29.48</c:v>
                </c:pt>
                <c:pt idx="940">
                  <c:v>23.21</c:v>
                </c:pt>
                <c:pt idx="941">
                  <c:v>46.09</c:v>
                </c:pt>
                <c:pt idx="942">
                  <c:v>40.185000000000002</c:v>
                </c:pt>
                <c:pt idx="943">
                  <c:v>22.61</c:v>
                </c:pt>
                <c:pt idx="944">
                  <c:v>39.93</c:v>
                </c:pt>
                <c:pt idx="945">
                  <c:v>35.799999999999997</c:v>
                </c:pt>
                <c:pt idx="946">
                  <c:v>35.799999999999997</c:v>
                </c:pt>
                <c:pt idx="947">
                  <c:v>34.200000000000003</c:v>
                </c:pt>
                <c:pt idx="948">
                  <c:v>31.254999999999999</c:v>
                </c:pt>
                <c:pt idx="949">
                  <c:v>29.7</c:v>
                </c:pt>
                <c:pt idx="950">
                  <c:v>18.335000000000001</c:v>
                </c:pt>
                <c:pt idx="951">
                  <c:v>42.9</c:v>
                </c:pt>
                <c:pt idx="952">
                  <c:v>28.405000000000001</c:v>
                </c:pt>
                <c:pt idx="953">
                  <c:v>30.2</c:v>
                </c:pt>
                <c:pt idx="954">
                  <c:v>27.835000000000001</c:v>
                </c:pt>
                <c:pt idx="955">
                  <c:v>39.49</c:v>
                </c:pt>
                <c:pt idx="956">
                  <c:v>30.8</c:v>
                </c:pt>
                <c:pt idx="957">
                  <c:v>26.79</c:v>
                </c:pt>
                <c:pt idx="958">
                  <c:v>34.96</c:v>
                </c:pt>
                <c:pt idx="959">
                  <c:v>36.67</c:v>
                </c:pt>
                <c:pt idx="960">
                  <c:v>39.615000000000002</c:v>
                </c:pt>
                <c:pt idx="961">
                  <c:v>25.9</c:v>
                </c:pt>
                <c:pt idx="962">
                  <c:v>35.200000000000003</c:v>
                </c:pt>
                <c:pt idx="963">
                  <c:v>24.795000000000002</c:v>
                </c:pt>
                <c:pt idx="964">
                  <c:v>36.765000000000001</c:v>
                </c:pt>
                <c:pt idx="965">
                  <c:v>27.1</c:v>
                </c:pt>
                <c:pt idx="966">
                  <c:v>24.795000000000002</c:v>
                </c:pt>
                <c:pt idx="967">
                  <c:v>25.364999999999998</c:v>
                </c:pt>
                <c:pt idx="968">
                  <c:v>25.745000000000001</c:v>
                </c:pt>
                <c:pt idx="969">
                  <c:v>34.32</c:v>
                </c:pt>
                <c:pt idx="970">
                  <c:v>28.16</c:v>
                </c:pt>
                <c:pt idx="971">
                  <c:v>23.56</c:v>
                </c:pt>
                <c:pt idx="972">
                  <c:v>20.234999999999999</c:v>
                </c:pt>
                <c:pt idx="973">
                  <c:v>40.5</c:v>
                </c:pt>
                <c:pt idx="974">
                  <c:v>35.42</c:v>
                </c:pt>
                <c:pt idx="975">
                  <c:v>22.895</c:v>
                </c:pt>
                <c:pt idx="976">
                  <c:v>40.15</c:v>
                </c:pt>
                <c:pt idx="977">
                  <c:v>29.15</c:v>
                </c:pt>
                <c:pt idx="978">
                  <c:v>39.994999999999997</c:v>
                </c:pt>
                <c:pt idx="979">
                  <c:v>29.92</c:v>
                </c:pt>
                <c:pt idx="980">
                  <c:v>25.46</c:v>
                </c:pt>
                <c:pt idx="981">
                  <c:v>21.375</c:v>
                </c:pt>
                <c:pt idx="982">
                  <c:v>25.9</c:v>
                </c:pt>
                <c:pt idx="983">
                  <c:v>30.59</c:v>
                </c:pt>
                <c:pt idx="984">
                  <c:v>30.114999999999998</c:v>
                </c:pt>
                <c:pt idx="985">
                  <c:v>25.8</c:v>
                </c:pt>
                <c:pt idx="986">
                  <c:v>30.114999999999998</c:v>
                </c:pt>
                <c:pt idx="987">
                  <c:v>27.645</c:v>
                </c:pt>
                <c:pt idx="988">
                  <c:v>34.674999999999997</c:v>
                </c:pt>
                <c:pt idx="989">
                  <c:v>20.52</c:v>
                </c:pt>
                <c:pt idx="990">
                  <c:v>19.8</c:v>
                </c:pt>
                <c:pt idx="991">
                  <c:v>27.835000000000001</c:v>
                </c:pt>
                <c:pt idx="992">
                  <c:v>31.6</c:v>
                </c:pt>
                <c:pt idx="993">
                  <c:v>28.27</c:v>
                </c:pt>
                <c:pt idx="994">
                  <c:v>20.045000000000002</c:v>
                </c:pt>
                <c:pt idx="995">
                  <c:v>23.274999999999999</c:v>
                </c:pt>
                <c:pt idx="996">
                  <c:v>34.1</c:v>
                </c:pt>
                <c:pt idx="997">
                  <c:v>36.85</c:v>
                </c:pt>
                <c:pt idx="998">
                  <c:v>36.29</c:v>
                </c:pt>
                <c:pt idx="999">
                  <c:v>26.885000000000002</c:v>
                </c:pt>
                <c:pt idx="1000">
                  <c:v>22.99</c:v>
                </c:pt>
                <c:pt idx="1001">
                  <c:v>32.700000000000003</c:v>
                </c:pt>
                <c:pt idx="1002">
                  <c:v>25.8</c:v>
                </c:pt>
                <c:pt idx="1003">
                  <c:v>29.6</c:v>
                </c:pt>
                <c:pt idx="1004">
                  <c:v>19.190000000000001</c:v>
                </c:pt>
                <c:pt idx="1005">
                  <c:v>31.73</c:v>
                </c:pt>
                <c:pt idx="1006">
                  <c:v>29.26</c:v>
                </c:pt>
                <c:pt idx="1007">
                  <c:v>28.215</c:v>
                </c:pt>
                <c:pt idx="1008">
                  <c:v>24.984999999999999</c:v>
                </c:pt>
                <c:pt idx="1009">
                  <c:v>27.74</c:v>
                </c:pt>
                <c:pt idx="1010">
                  <c:v>22.8</c:v>
                </c:pt>
                <c:pt idx="1011">
                  <c:v>20.13</c:v>
                </c:pt>
                <c:pt idx="1012">
                  <c:v>33.33</c:v>
                </c:pt>
                <c:pt idx="1013">
                  <c:v>32.299999999999997</c:v>
                </c:pt>
                <c:pt idx="1014">
                  <c:v>27.6</c:v>
                </c:pt>
                <c:pt idx="1015">
                  <c:v>25.46</c:v>
                </c:pt>
                <c:pt idx="1016">
                  <c:v>24.605</c:v>
                </c:pt>
                <c:pt idx="1017">
                  <c:v>34.200000000000003</c:v>
                </c:pt>
                <c:pt idx="1018">
                  <c:v>35.814999999999998</c:v>
                </c:pt>
                <c:pt idx="1019">
                  <c:v>32.68</c:v>
                </c:pt>
                <c:pt idx="1020">
                  <c:v>37</c:v>
                </c:pt>
                <c:pt idx="1021">
                  <c:v>31.02</c:v>
                </c:pt>
                <c:pt idx="1022">
                  <c:v>36.08</c:v>
                </c:pt>
                <c:pt idx="1023">
                  <c:v>23.32</c:v>
                </c:pt>
                <c:pt idx="1024">
                  <c:v>45.32</c:v>
                </c:pt>
                <c:pt idx="1025">
                  <c:v>34.6</c:v>
                </c:pt>
                <c:pt idx="1026">
                  <c:v>26.03</c:v>
                </c:pt>
                <c:pt idx="1027">
                  <c:v>18.715</c:v>
                </c:pt>
                <c:pt idx="1028">
                  <c:v>31.6</c:v>
                </c:pt>
                <c:pt idx="1029">
                  <c:v>17.29</c:v>
                </c:pt>
                <c:pt idx="1030">
                  <c:v>23.655000000000001</c:v>
                </c:pt>
                <c:pt idx="1031">
                  <c:v>35.200000000000003</c:v>
                </c:pt>
                <c:pt idx="1032">
                  <c:v>27.93</c:v>
                </c:pt>
                <c:pt idx="1033">
                  <c:v>21.565000000000001</c:v>
                </c:pt>
                <c:pt idx="1034">
                  <c:v>38.380000000000003</c:v>
                </c:pt>
                <c:pt idx="1035">
                  <c:v>23</c:v>
                </c:pt>
                <c:pt idx="1036">
                  <c:v>37.07</c:v>
                </c:pt>
                <c:pt idx="1037">
                  <c:v>30.495000000000001</c:v>
                </c:pt>
                <c:pt idx="1038">
                  <c:v>28.88</c:v>
                </c:pt>
                <c:pt idx="1039">
                  <c:v>27.265000000000001</c:v>
                </c:pt>
                <c:pt idx="1040">
                  <c:v>28.024999999999999</c:v>
                </c:pt>
                <c:pt idx="1041">
                  <c:v>23.085000000000001</c:v>
                </c:pt>
                <c:pt idx="1042">
                  <c:v>30.684999999999999</c:v>
                </c:pt>
                <c:pt idx="1043">
                  <c:v>25.8</c:v>
                </c:pt>
                <c:pt idx="1044">
                  <c:v>35.244999999999997</c:v>
                </c:pt>
                <c:pt idx="1045">
                  <c:v>24.7</c:v>
                </c:pt>
                <c:pt idx="1046">
                  <c:v>25.08</c:v>
                </c:pt>
                <c:pt idx="1047">
                  <c:v>52.58</c:v>
                </c:pt>
                <c:pt idx="1048">
                  <c:v>22.515000000000001</c:v>
                </c:pt>
                <c:pt idx="1049">
                  <c:v>30.9</c:v>
                </c:pt>
                <c:pt idx="1050">
                  <c:v>36.954999999999998</c:v>
                </c:pt>
                <c:pt idx="1051">
                  <c:v>26.41</c:v>
                </c:pt>
                <c:pt idx="1052">
                  <c:v>29.83</c:v>
                </c:pt>
                <c:pt idx="1053">
                  <c:v>29.8</c:v>
                </c:pt>
                <c:pt idx="1054">
                  <c:v>21.47</c:v>
                </c:pt>
                <c:pt idx="1055">
                  <c:v>27.645</c:v>
                </c:pt>
                <c:pt idx="1056">
                  <c:v>28.9</c:v>
                </c:pt>
                <c:pt idx="1057">
                  <c:v>31.79</c:v>
                </c:pt>
                <c:pt idx="1058">
                  <c:v>39.49</c:v>
                </c:pt>
                <c:pt idx="1059">
                  <c:v>33.82</c:v>
                </c:pt>
                <c:pt idx="1060">
                  <c:v>32.01</c:v>
                </c:pt>
                <c:pt idx="1061">
                  <c:v>27.94</c:v>
                </c:pt>
                <c:pt idx="1062">
                  <c:v>41.14</c:v>
                </c:pt>
                <c:pt idx="1063">
                  <c:v>28.594999999999999</c:v>
                </c:pt>
                <c:pt idx="1064">
                  <c:v>25.6</c:v>
                </c:pt>
                <c:pt idx="1065">
                  <c:v>25.3</c:v>
                </c:pt>
                <c:pt idx="1066">
                  <c:v>37.29</c:v>
                </c:pt>
                <c:pt idx="1067">
                  <c:v>42.655000000000001</c:v>
                </c:pt>
                <c:pt idx="1068">
                  <c:v>21.66</c:v>
                </c:pt>
                <c:pt idx="1069">
                  <c:v>31.9</c:v>
                </c:pt>
                <c:pt idx="1070">
                  <c:v>37.07</c:v>
                </c:pt>
                <c:pt idx="1071">
                  <c:v>31.445</c:v>
                </c:pt>
                <c:pt idx="1072">
                  <c:v>31.254999999999999</c:v>
                </c:pt>
                <c:pt idx="1073">
                  <c:v>28.88</c:v>
                </c:pt>
                <c:pt idx="1074">
                  <c:v>18.335000000000001</c:v>
                </c:pt>
                <c:pt idx="1075">
                  <c:v>29.59</c:v>
                </c:pt>
                <c:pt idx="1076">
                  <c:v>32</c:v>
                </c:pt>
                <c:pt idx="1077">
                  <c:v>26.03</c:v>
                </c:pt>
                <c:pt idx="1078">
                  <c:v>31.68</c:v>
                </c:pt>
                <c:pt idx="1079">
                  <c:v>33.659999999999997</c:v>
                </c:pt>
                <c:pt idx="1080">
                  <c:v>21.78</c:v>
                </c:pt>
                <c:pt idx="1081">
                  <c:v>27.835000000000001</c:v>
                </c:pt>
                <c:pt idx="1082">
                  <c:v>19.95</c:v>
                </c:pt>
                <c:pt idx="1083">
                  <c:v>31.5</c:v>
                </c:pt>
                <c:pt idx="1084">
                  <c:v>30.495000000000001</c:v>
                </c:pt>
                <c:pt idx="1085">
                  <c:v>18.3</c:v>
                </c:pt>
                <c:pt idx="1086">
                  <c:v>28.975000000000001</c:v>
                </c:pt>
                <c:pt idx="1087">
                  <c:v>31.54</c:v>
                </c:pt>
                <c:pt idx="1088">
                  <c:v>47.74</c:v>
                </c:pt>
                <c:pt idx="1089">
                  <c:v>22.1</c:v>
                </c:pt>
                <c:pt idx="1090">
                  <c:v>36.19</c:v>
                </c:pt>
                <c:pt idx="1091">
                  <c:v>29.83</c:v>
                </c:pt>
                <c:pt idx="1092">
                  <c:v>32.700000000000003</c:v>
                </c:pt>
                <c:pt idx="1093">
                  <c:v>30.4</c:v>
                </c:pt>
                <c:pt idx="1094">
                  <c:v>33.700000000000003</c:v>
                </c:pt>
                <c:pt idx="1095">
                  <c:v>31.35</c:v>
                </c:pt>
                <c:pt idx="1096">
                  <c:v>34.96</c:v>
                </c:pt>
                <c:pt idx="1097">
                  <c:v>33.770000000000003</c:v>
                </c:pt>
                <c:pt idx="1098">
                  <c:v>30.875</c:v>
                </c:pt>
                <c:pt idx="1099">
                  <c:v>33.99</c:v>
                </c:pt>
                <c:pt idx="1100">
                  <c:v>19.094999999999999</c:v>
                </c:pt>
                <c:pt idx="1101">
                  <c:v>28.6</c:v>
                </c:pt>
                <c:pt idx="1102">
                  <c:v>38.94</c:v>
                </c:pt>
                <c:pt idx="1103">
                  <c:v>36.08</c:v>
                </c:pt>
                <c:pt idx="1104">
                  <c:v>29.8</c:v>
                </c:pt>
                <c:pt idx="1105">
                  <c:v>31.24</c:v>
                </c:pt>
                <c:pt idx="1106">
                  <c:v>29.925000000000001</c:v>
                </c:pt>
                <c:pt idx="1107">
                  <c:v>26.22</c:v>
                </c:pt>
                <c:pt idx="1108">
                  <c:v>30</c:v>
                </c:pt>
                <c:pt idx="1109">
                  <c:v>20.350000000000001</c:v>
                </c:pt>
                <c:pt idx="1110">
                  <c:v>32.299999999999997</c:v>
                </c:pt>
                <c:pt idx="1111">
                  <c:v>38.39</c:v>
                </c:pt>
                <c:pt idx="1112">
                  <c:v>25.85</c:v>
                </c:pt>
                <c:pt idx="1113">
                  <c:v>26.315000000000001</c:v>
                </c:pt>
                <c:pt idx="1114">
                  <c:v>24.51</c:v>
                </c:pt>
                <c:pt idx="1115">
                  <c:v>32.67</c:v>
                </c:pt>
                <c:pt idx="1116">
                  <c:v>29.64</c:v>
                </c:pt>
                <c:pt idx="1117">
                  <c:v>33.33</c:v>
                </c:pt>
                <c:pt idx="1118">
                  <c:v>35.75</c:v>
                </c:pt>
                <c:pt idx="1119">
                  <c:v>19.95</c:v>
                </c:pt>
                <c:pt idx="1120">
                  <c:v>31.4</c:v>
                </c:pt>
                <c:pt idx="1121">
                  <c:v>38.17</c:v>
                </c:pt>
                <c:pt idx="1122">
                  <c:v>36.86</c:v>
                </c:pt>
                <c:pt idx="1123">
                  <c:v>32.395000000000003</c:v>
                </c:pt>
                <c:pt idx="1124">
                  <c:v>42.75</c:v>
                </c:pt>
                <c:pt idx="1125">
                  <c:v>25.08</c:v>
                </c:pt>
                <c:pt idx="1126">
                  <c:v>29.9</c:v>
                </c:pt>
                <c:pt idx="1127">
                  <c:v>35.86</c:v>
                </c:pt>
                <c:pt idx="1128">
                  <c:v>32.799999999999997</c:v>
                </c:pt>
                <c:pt idx="1129">
                  <c:v>18.600000000000001</c:v>
                </c:pt>
                <c:pt idx="1130">
                  <c:v>23.87</c:v>
                </c:pt>
                <c:pt idx="1131">
                  <c:v>45.9</c:v>
                </c:pt>
                <c:pt idx="1132">
                  <c:v>40.28</c:v>
                </c:pt>
                <c:pt idx="1133">
                  <c:v>18.335000000000001</c:v>
                </c:pt>
                <c:pt idx="1134">
                  <c:v>33.82</c:v>
                </c:pt>
                <c:pt idx="1135">
                  <c:v>28.12</c:v>
                </c:pt>
                <c:pt idx="1136">
                  <c:v>25</c:v>
                </c:pt>
                <c:pt idx="1137">
                  <c:v>22.23</c:v>
                </c:pt>
                <c:pt idx="1138">
                  <c:v>30.25</c:v>
                </c:pt>
                <c:pt idx="1139">
                  <c:v>32.49</c:v>
                </c:pt>
                <c:pt idx="1140">
                  <c:v>37.07</c:v>
                </c:pt>
                <c:pt idx="1141">
                  <c:v>32.6</c:v>
                </c:pt>
                <c:pt idx="1142">
                  <c:v>24.86</c:v>
                </c:pt>
                <c:pt idx="1143">
                  <c:v>32.340000000000003</c:v>
                </c:pt>
                <c:pt idx="1144">
                  <c:v>32.299999999999997</c:v>
                </c:pt>
                <c:pt idx="1145">
                  <c:v>32.774999999999999</c:v>
                </c:pt>
                <c:pt idx="1146">
                  <c:v>32.799999999999997</c:v>
                </c:pt>
                <c:pt idx="1147">
                  <c:v>31.92</c:v>
                </c:pt>
                <c:pt idx="1148">
                  <c:v>21.5</c:v>
                </c:pt>
                <c:pt idx="1149">
                  <c:v>34.1</c:v>
                </c:pt>
                <c:pt idx="1150">
                  <c:v>30.305</c:v>
                </c:pt>
                <c:pt idx="1151">
                  <c:v>36.479999999999997</c:v>
                </c:pt>
                <c:pt idx="1152">
                  <c:v>32.56</c:v>
                </c:pt>
                <c:pt idx="1153">
                  <c:v>35.814999999999998</c:v>
                </c:pt>
                <c:pt idx="1154">
                  <c:v>27.93</c:v>
                </c:pt>
                <c:pt idx="1155">
                  <c:v>22.135000000000002</c:v>
                </c:pt>
                <c:pt idx="1156">
                  <c:v>44.88</c:v>
                </c:pt>
                <c:pt idx="1157">
                  <c:v>23.18</c:v>
                </c:pt>
                <c:pt idx="1158">
                  <c:v>30.59</c:v>
                </c:pt>
                <c:pt idx="1159">
                  <c:v>41.1</c:v>
                </c:pt>
                <c:pt idx="1160">
                  <c:v>34.58</c:v>
                </c:pt>
                <c:pt idx="1161">
                  <c:v>42.13</c:v>
                </c:pt>
                <c:pt idx="1162">
                  <c:v>38.83</c:v>
                </c:pt>
                <c:pt idx="1163">
                  <c:v>28.215</c:v>
                </c:pt>
                <c:pt idx="1164">
                  <c:v>28.31</c:v>
                </c:pt>
                <c:pt idx="1165">
                  <c:v>26.125</c:v>
                </c:pt>
                <c:pt idx="1166">
                  <c:v>40.369999999999997</c:v>
                </c:pt>
                <c:pt idx="1167">
                  <c:v>24.6</c:v>
                </c:pt>
                <c:pt idx="1168">
                  <c:v>35.200000000000003</c:v>
                </c:pt>
                <c:pt idx="1169">
                  <c:v>34.104999999999997</c:v>
                </c:pt>
                <c:pt idx="1170">
                  <c:v>27.36</c:v>
                </c:pt>
                <c:pt idx="1171">
                  <c:v>26.7</c:v>
                </c:pt>
                <c:pt idx="1172">
                  <c:v>41.91</c:v>
                </c:pt>
                <c:pt idx="1173">
                  <c:v>29.26</c:v>
                </c:pt>
                <c:pt idx="1174">
                  <c:v>32.11</c:v>
                </c:pt>
                <c:pt idx="1175">
                  <c:v>27.1</c:v>
                </c:pt>
                <c:pt idx="1176">
                  <c:v>24.13</c:v>
                </c:pt>
                <c:pt idx="1177">
                  <c:v>27.4</c:v>
                </c:pt>
                <c:pt idx="1178">
                  <c:v>34.865000000000002</c:v>
                </c:pt>
                <c:pt idx="1179">
                  <c:v>29.81</c:v>
                </c:pt>
                <c:pt idx="1180">
                  <c:v>41.325000000000003</c:v>
                </c:pt>
                <c:pt idx="1181">
                  <c:v>29.925000000000001</c:v>
                </c:pt>
                <c:pt idx="1182">
                  <c:v>30.3</c:v>
                </c:pt>
                <c:pt idx="1183">
                  <c:v>27.36</c:v>
                </c:pt>
                <c:pt idx="1184">
                  <c:v>28.49</c:v>
                </c:pt>
                <c:pt idx="1185">
                  <c:v>23.56</c:v>
                </c:pt>
                <c:pt idx="1186">
                  <c:v>35.625</c:v>
                </c:pt>
                <c:pt idx="1187">
                  <c:v>32.68</c:v>
                </c:pt>
                <c:pt idx="1188">
                  <c:v>25.27</c:v>
                </c:pt>
                <c:pt idx="1189">
                  <c:v>28</c:v>
                </c:pt>
                <c:pt idx="1190">
                  <c:v>32.774999999999999</c:v>
                </c:pt>
                <c:pt idx="1191">
                  <c:v>21.754999999999999</c:v>
                </c:pt>
                <c:pt idx="1192">
                  <c:v>32.395000000000003</c:v>
                </c:pt>
                <c:pt idx="1193">
                  <c:v>36.575000000000003</c:v>
                </c:pt>
                <c:pt idx="1194">
                  <c:v>21.754999999999999</c:v>
                </c:pt>
                <c:pt idx="1195">
                  <c:v>27.93</c:v>
                </c:pt>
                <c:pt idx="1196">
                  <c:v>30.02</c:v>
                </c:pt>
                <c:pt idx="1197">
                  <c:v>33.549999999999997</c:v>
                </c:pt>
                <c:pt idx="1198">
                  <c:v>29.355</c:v>
                </c:pt>
                <c:pt idx="1199">
                  <c:v>25.8</c:v>
                </c:pt>
                <c:pt idx="1200">
                  <c:v>24.32</c:v>
                </c:pt>
                <c:pt idx="1201">
                  <c:v>40.375</c:v>
                </c:pt>
                <c:pt idx="1202">
                  <c:v>32.11</c:v>
                </c:pt>
                <c:pt idx="1203">
                  <c:v>32.299999999999997</c:v>
                </c:pt>
                <c:pt idx="1204">
                  <c:v>27.28</c:v>
                </c:pt>
                <c:pt idx="1205">
                  <c:v>17.86</c:v>
                </c:pt>
                <c:pt idx="1206">
                  <c:v>34.799999999999997</c:v>
                </c:pt>
                <c:pt idx="1207">
                  <c:v>33.4</c:v>
                </c:pt>
                <c:pt idx="1208">
                  <c:v>25.555</c:v>
                </c:pt>
                <c:pt idx="1209">
                  <c:v>37.1</c:v>
                </c:pt>
                <c:pt idx="1210">
                  <c:v>30.875</c:v>
                </c:pt>
                <c:pt idx="1211">
                  <c:v>34.1</c:v>
                </c:pt>
                <c:pt idx="1212">
                  <c:v>21.47</c:v>
                </c:pt>
                <c:pt idx="1213">
                  <c:v>33.299999999999997</c:v>
                </c:pt>
                <c:pt idx="1214">
                  <c:v>31.254999999999999</c:v>
                </c:pt>
                <c:pt idx="1215">
                  <c:v>39.14</c:v>
                </c:pt>
                <c:pt idx="1216">
                  <c:v>25.08</c:v>
                </c:pt>
                <c:pt idx="1217">
                  <c:v>37.29</c:v>
                </c:pt>
                <c:pt idx="1218">
                  <c:v>34.6</c:v>
                </c:pt>
                <c:pt idx="1219">
                  <c:v>30.21</c:v>
                </c:pt>
                <c:pt idx="1220">
                  <c:v>21.945</c:v>
                </c:pt>
                <c:pt idx="1221">
                  <c:v>24.97</c:v>
                </c:pt>
                <c:pt idx="1222">
                  <c:v>25.3</c:v>
                </c:pt>
                <c:pt idx="1223">
                  <c:v>24.42</c:v>
                </c:pt>
                <c:pt idx="1224">
                  <c:v>23.94</c:v>
                </c:pt>
                <c:pt idx="1225">
                  <c:v>39.82</c:v>
                </c:pt>
                <c:pt idx="1226">
                  <c:v>16.815000000000001</c:v>
                </c:pt>
                <c:pt idx="1227">
                  <c:v>37.18</c:v>
                </c:pt>
                <c:pt idx="1228">
                  <c:v>34.43</c:v>
                </c:pt>
                <c:pt idx="1229">
                  <c:v>30.305</c:v>
                </c:pt>
                <c:pt idx="1230">
                  <c:v>34.484999999999999</c:v>
                </c:pt>
                <c:pt idx="1231">
                  <c:v>21.8</c:v>
                </c:pt>
                <c:pt idx="1232">
                  <c:v>24.605</c:v>
                </c:pt>
                <c:pt idx="1233">
                  <c:v>23.3</c:v>
                </c:pt>
                <c:pt idx="1234">
                  <c:v>27.83</c:v>
                </c:pt>
                <c:pt idx="1235">
                  <c:v>31.065000000000001</c:v>
                </c:pt>
                <c:pt idx="1236">
                  <c:v>21.66</c:v>
                </c:pt>
                <c:pt idx="1237">
                  <c:v>28.215</c:v>
                </c:pt>
                <c:pt idx="1238">
                  <c:v>22.704999999999998</c:v>
                </c:pt>
                <c:pt idx="1239">
                  <c:v>42.13</c:v>
                </c:pt>
                <c:pt idx="1240">
                  <c:v>41.8</c:v>
                </c:pt>
                <c:pt idx="1241">
                  <c:v>36.96</c:v>
                </c:pt>
                <c:pt idx="1242">
                  <c:v>21.28</c:v>
                </c:pt>
                <c:pt idx="1243">
                  <c:v>33.11</c:v>
                </c:pt>
                <c:pt idx="1244">
                  <c:v>33.33</c:v>
                </c:pt>
                <c:pt idx="1245">
                  <c:v>24.3</c:v>
                </c:pt>
                <c:pt idx="1246">
                  <c:v>25.7</c:v>
                </c:pt>
                <c:pt idx="1247">
                  <c:v>29.4</c:v>
                </c:pt>
                <c:pt idx="1248">
                  <c:v>39.82</c:v>
                </c:pt>
                <c:pt idx="1249">
                  <c:v>33.630000000000003</c:v>
                </c:pt>
                <c:pt idx="1250">
                  <c:v>29.83</c:v>
                </c:pt>
                <c:pt idx="1251">
                  <c:v>19.8</c:v>
                </c:pt>
                <c:pt idx="1252">
                  <c:v>27.3</c:v>
                </c:pt>
                <c:pt idx="1253">
                  <c:v>29.3</c:v>
                </c:pt>
                <c:pt idx="1254">
                  <c:v>27.72</c:v>
                </c:pt>
                <c:pt idx="1255">
                  <c:v>37.9</c:v>
                </c:pt>
                <c:pt idx="1256">
                  <c:v>36.384999999999998</c:v>
                </c:pt>
                <c:pt idx="1257">
                  <c:v>27.645</c:v>
                </c:pt>
                <c:pt idx="1258">
                  <c:v>37.715000000000003</c:v>
                </c:pt>
                <c:pt idx="1259">
                  <c:v>23.18</c:v>
                </c:pt>
                <c:pt idx="1260">
                  <c:v>20.52</c:v>
                </c:pt>
                <c:pt idx="1261">
                  <c:v>37.1</c:v>
                </c:pt>
                <c:pt idx="1262">
                  <c:v>28.05</c:v>
                </c:pt>
                <c:pt idx="1263">
                  <c:v>29.9</c:v>
                </c:pt>
                <c:pt idx="1264">
                  <c:v>33.344999999999999</c:v>
                </c:pt>
                <c:pt idx="1265">
                  <c:v>23.76</c:v>
                </c:pt>
                <c:pt idx="1266">
                  <c:v>30.5</c:v>
                </c:pt>
                <c:pt idx="1267">
                  <c:v>31.065000000000001</c:v>
                </c:pt>
                <c:pt idx="1268">
                  <c:v>33.299999999999997</c:v>
                </c:pt>
                <c:pt idx="1269">
                  <c:v>27.5</c:v>
                </c:pt>
                <c:pt idx="1270">
                  <c:v>33.914999999999999</c:v>
                </c:pt>
                <c:pt idx="1271">
                  <c:v>34.484999999999999</c:v>
                </c:pt>
                <c:pt idx="1272">
                  <c:v>25.52</c:v>
                </c:pt>
                <c:pt idx="1273">
                  <c:v>27.61</c:v>
                </c:pt>
                <c:pt idx="1274">
                  <c:v>27.06</c:v>
                </c:pt>
                <c:pt idx="1275">
                  <c:v>23.7</c:v>
                </c:pt>
                <c:pt idx="1276">
                  <c:v>30.4</c:v>
                </c:pt>
                <c:pt idx="1277">
                  <c:v>29.734999999999999</c:v>
                </c:pt>
                <c:pt idx="1278">
                  <c:v>29.925000000000001</c:v>
                </c:pt>
                <c:pt idx="1279">
                  <c:v>26.79</c:v>
                </c:pt>
                <c:pt idx="1280">
                  <c:v>33.33</c:v>
                </c:pt>
                <c:pt idx="1281">
                  <c:v>27.645</c:v>
                </c:pt>
                <c:pt idx="1282">
                  <c:v>21.66</c:v>
                </c:pt>
                <c:pt idx="1283">
                  <c:v>30.03</c:v>
                </c:pt>
                <c:pt idx="1284">
                  <c:v>36.299999999999997</c:v>
                </c:pt>
                <c:pt idx="1285">
                  <c:v>24.32</c:v>
                </c:pt>
                <c:pt idx="1286">
                  <c:v>17.29</c:v>
                </c:pt>
                <c:pt idx="1287">
                  <c:v>25.9</c:v>
                </c:pt>
                <c:pt idx="1288">
                  <c:v>39.4</c:v>
                </c:pt>
                <c:pt idx="1289">
                  <c:v>34.32</c:v>
                </c:pt>
                <c:pt idx="1290">
                  <c:v>19.95</c:v>
                </c:pt>
                <c:pt idx="1291">
                  <c:v>34.9</c:v>
                </c:pt>
                <c:pt idx="1292">
                  <c:v>23.21</c:v>
                </c:pt>
                <c:pt idx="1293">
                  <c:v>25.745000000000001</c:v>
                </c:pt>
                <c:pt idx="1294">
                  <c:v>25.175000000000001</c:v>
                </c:pt>
                <c:pt idx="1295">
                  <c:v>22</c:v>
                </c:pt>
                <c:pt idx="1296">
                  <c:v>26.125</c:v>
                </c:pt>
                <c:pt idx="1297">
                  <c:v>26.51</c:v>
                </c:pt>
                <c:pt idx="1298">
                  <c:v>27.454999999999998</c:v>
                </c:pt>
                <c:pt idx="1299">
                  <c:v>25.745000000000001</c:v>
                </c:pt>
                <c:pt idx="1300">
                  <c:v>30.36</c:v>
                </c:pt>
                <c:pt idx="1301">
                  <c:v>30.875</c:v>
                </c:pt>
                <c:pt idx="1302">
                  <c:v>20.8</c:v>
                </c:pt>
                <c:pt idx="1303">
                  <c:v>27.8</c:v>
                </c:pt>
                <c:pt idx="1304">
                  <c:v>24.605</c:v>
                </c:pt>
                <c:pt idx="1305">
                  <c:v>27.72</c:v>
                </c:pt>
                <c:pt idx="1306">
                  <c:v>21.85</c:v>
                </c:pt>
                <c:pt idx="1307">
                  <c:v>28.12</c:v>
                </c:pt>
                <c:pt idx="1308">
                  <c:v>30.2</c:v>
                </c:pt>
                <c:pt idx="1309">
                  <c:v>32.200000000000003</c:v>
                </c:pt>
                <c:pt idx="1310">
                  <c:v>26.315000000000001</c:v>
                </c:pt>
                <c:pt idx="1311">
                  <c:v>26.695</c:v>
                </c:pt>
                <c:pt idx="1312">
                  <c:v>42.9</c:v>
                </c:pt>
                <c:pt idx="1313">
                  <c:v>34.700000000000003</c:v>
                </c:pt>
                <c:pt idx="1314">
                  <c:v>23.655000000000001</c:v>
                </c:pt>
                <c:pt idx="1315">
                  <c:v>28.31</c:v>
                </c:pt>
                <c:pt idx="1316">
                  <c:v>20.6</c:v>
                </c:pt>
                <c:pt idx="1317">
                  <c:v>53.13</c:v>
                </c:pt>
                <c:pt idx="1318">
                  <c:v>39.71</c:v>
                </c:pt>
                <c:pt idx="1319">
                  <c:v>26.315000000000001</c:v>
                </c:pt>
                <c:pt idx="1320">
                  <c:v>31.065000000000001</c:v>
                </c:pt>
                <c:pt idx="1321">
                  <c:v>26.695</c:v>
                </c:pt>
                <c:pt idx="1322">
                  <c:v>38.83</c:v>
                </c:pt>
                <c:pt idx="1323">
                  <c:v>40.369999999999997</c:v>
                </c:pt>
                <c:pt idx="1324">
                  <c:v>25.934999999999999</c:v>
                </c:pt>
                <c:pt idx="1325">
                  <c:v>33.534999999999997</c:v>
                </c:pt>
                <c:pt idx="1326">
                  <c:v>32.869999999999997</c:v>
                </c:pt>
                <c:pt idx="1327">
                  <c:v>30.03</c:v>
                </c:pt>
                <c:pt idx="1328">
                  <c:v>24.225000000000001</c:v>
                </c:pt>
                <c:pt idx="1329">
                  <c:v>38.6</c:v>
                </c:pt>
                <c:pt idx="1330">
                  <c:v>25.74</c:v>
                </c:pt>
                <c:pt idx="1331">
                  <c:v>33.4</c:v>
                </c:pt>
                <c:pt idx="1332">
                  <c:v>44.7</c:v>
                </c:pt>
                <c:pt idx="1333">
                  <c:v>30.97</c:v>
                </c:pt>
                <c:pt idx="1334">
                  <c:v>31.92</c:v>
                </c:pt>
                <c:pt idx="1335">
                  <c:v>36.85</c:v>
                </c:pt>
                <c:pt idx="1336">
                  <c:v>25.8</c:v>
                </c:pt>
                <c:pt idx="1337">
                  <c:v>29.07</c:v>
                </c:pt>
              </c:numCache>
            </c:numRef>
          </c:xVal>
          <c:yVal>
            <c:numRef>
              <c:f>insurance!$C$2:$C$1339</c:f>
              <c:numCache>
                <c:formatCode>General</c:formatCode>
                <c:ptCount val="1338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  <c:pt idx="937">
                  <c:v>24.225000000000001</c:v>
                </c:pt>
                <c:pt idx="938">
                  <c:v>26.18</c:v>
                </c:pt>
                <c:pt idx="939">
                  <c:v>29.48</c:v>
                </c:pt>
                <c:pt idx="940">
                  <c:v>23.21</c:v>
                </c:pt>
                <c:pt idx="941">
                  <c:v>46.09</c:v>
                </c:pt>
                <c:pt idx="942">
                  <c:v>40.185000000000002</c:v>
                </c:pt>
                <c:pt idx="943">
                  <c:v>22.61</c:v>
                </c:pt>
                <c:pt idx="944">
                  <c:v>39.93</c:v>
                </c:pt>
                <c:pt idx="945">
                  <c:v>35.799999999999997</c:v>
                </c:pt>
                <c:pt idx="946">
                  <c:v>35.799999999999997</c:v>
                </c:pt>
                <c:pt idx="947">
                  <c:v>34.200000000000003</c:v>
                </c:pt>
                <c:pt idx="948">
                  <c:v>31.254999999999999</c:v>
                </c:pt>
                <c:pt idx="949">
                  <c:v>29.7</c:v>
                </c:pt>
                <c:pt idx="950">
                  <c:v>18.335000000000001</c:v>
                </c:pt>
                <c:pt idx="951">
                  <c:v>42.9</c:v>
                </c:pt>
                <c:pt idx="952">
                  <c:v>28.405000000000001</c:v>
                </c:pt>
                <c:pt idx="953">
                  <c:v>30.2</c:v>
                </c:pt>
                <c:pt idx="954">
                  <c:v>27.835000000000001</c:v>
                </c:pt>
                <c:pt idx="955">
                  <c:v>39.49</c:v>
                </c:pt>
                <c:pt idx="956">
                  <c:v>30.8</c:v>
                </c:pt>
                <c:pt idx="957">
                  <c:v>26.79</c:v>
                </c:pt>
                <c:pt idx="958">
                  <c:v>34.96</c:v>
                </c:pt>
                <c:pt idx="959">
                  <c:v>36.67</c:v>
                </c:pt>
                <c:pt idx="960">
                  <c:v>39.615000000000002</c:v>
                </c:pt>
                <c:pt idx="961">
                  <c:v>25.9</c:v>
                </c:pt>
                <c:pt idx="962">
                  <c:v>35.200000000000003</c:v>
                </c:pt>
                <c:pt idx="963">
                  <c:v>24.795000000000002</c:v>
                </c:pt>
                <c:pt idx="964">
                  <c:v>36.765000000000001</c:v>
                </c:pt>
                <c:pt idx="965">
                  <c:v>27.1</c:v>
                </c:pt>
                <c:pt idx="966">
                  <c:v>24.795000000000002</c:v>
                </c:pt>
                <c:pt idx="967">
                  <c:v>25.364999999999998</c:v>
                </c:pt>
                <c:pt idx="968">
                  <c:v>25.745000000000001</c:v>
                </c:pt>
                <c:pt idx="969">
                  <c:v>34.32</c:v>
                </c:pt>
                <c:pt idx="970">
                  <c:v>28.16</c:v>
                </c:pt>
                <c:pt idx="971">
                  <c:v>23.56</c:v>
                </c:pt>
                <c:pt idx="972">
                  <c:v>20.234999999999999</c:v>
                </c:pt>
                <c:pt idx="973">
                  <c:v>40.5</c:v>
                </c:pt>
                <c:pt idx="974">
                  <c:v>35.42</c:v>
                </c:pt>
                <c:pt idx="975">
                  <c:v>22.895</c:v>
                </c:pt>
                <c:pt idx="976">
                  <c:v>40.15</c:v>
                </c:pt>
                <c:pt idx="977">
                  <c:v>29.15</c:v>
                </c:pt>
                <c:pt idx="978">
                  <c:v>39.994999999999997</c:v>
                </c:pt>
                <c:pt idx="979">
                  <c:v>29.92</c:v>
                </c:pt>
                <c:pt idx="980">
                  <c:v>25.46</c:v>
                </c:pt>
                <c:pt idx="981">
                  <c:v>21.375</c:v>
                </c:pt>
                <c:pt idx="982">
                  <c:v>25.9</c:v>
                </c:pt>
                <c:pt idx="983">
                  <c:v>30.59</c:v>
                </c:pt>
                <c:pt idx="984">
                  <c:v>30.114999999999998</c:v>
                </c:pt>
                <c:pt idx="985">
                  <c:v>25.8</c:v>
                </c:pt>
                <c:pt idx="986">
                  <c:v>30.114999999999998</c:v>
                </c:pt>
                <c:pt idx="987">
                  <c:v>27.645</c:v>
                </c:pt>
                <c:pt idx="988">
                  <c:v>34.674999999999997</c:v>
                </c:pt>
                <c:pt idx="989">
                  <c:v>20.52</c:v>
                </c:pt>
                <c:pt idx="990">
                  <c:v>19.8</c:v>
                </c:pt>
                <c:pt idx="991">
                  <c:v>27.835000000000001</c:v>
                </c:pt>
                <c:pt idx="992">
                  <c:v>31.6</c:v>
                </c:pt>
                <c:pt idx="993">
                  <c:v>28.27</c:v>
                </c:pt>
                <c:pt idx="994">
                  <c:v>20.045000000000002</c:v>
                </c:pt>
                <c:pt idx="995">
                  <c:v>23.274999999999999</c:v>
                </c:pt>
                <c:pt idx="996">
                  <c:v>34.1</c:v>
                </c:pt>
                <c:pt idx="997">
                  <c:v>36.85</c:v>
                </c:pt>
                <c:pt idx="998">
                  <c:v>36.29</c:v>
                </c:pt>
                <c:pt idx="999">
                  <c:v>26.885000000000002</c:v>
                </c:pt>
                <c:pt idx="1000">
                  <c:v>22.99</c:v>
                </c:pt>
                <c:pt idx="1001">
                  <c:v>32.700000000000003</c:v>
                </c:pt>
                <c:pt idx="1002">
                  <c:v>25.8</c:v>
                </c:pt>
                <c:pt idx="1003">
                  <c:v>29.6</c:v>
                </c:pt>
                <c:pt idx="1004">
                  <c:v>19.190000000000001</c:v>
                </c:pt>
                <c:pt idx="1005">
                  <c:v>31.73</c:v>
                </c:pt>
                <c:pt idx="1006">
                  <c:v>29.26</c:v>
                </c:pt>
                <c:pt idx="1007">
                  <c:v>28.215</c:v>
                </c:pt>
                <c:pt idx="1008">
                  <c:v>24.984999999999999</c:v>
                </c:pt>
                <c:pt idx="1009">
                  <c:v>27.74</c:v>
                </c:pt>
                <c:pt idx="1010">
                  <c:v>22.8</c:v>
                </c:pt>
                <c:pt idx="1011">
                  <c:v>20.13</c:v>
                </c:pt>
                <c:pt idx="1012">
                  <c:v>33.33</c:v>
                </c:pt>
                <c:pt idx="1013">
                  <c:v>32.299999999999997</c:v>
                </c:pt>
                <c:pt idx="1014">
                  <c:v>27.6</c:v>
                </c:pt>
                <c:pt idx="1015">
                  <c:v>25.46</c:v>
                </c:pt>
                <c:pt idx="1016">
                  <c:v>24.605</c:v>
                </c:pt>
                <c:pt idx="1017">
                  <c:v>34.200000000000003</c:v>
                </c:pt>
                <c:pt idx="1018">
                  <c:v>35.814999999999998</c:v>
                </c:pt>
                <c:pt idx="1019">
                  <c:v>32.68</c:v>
                </c:pt>
                <c:pt idx="1020">
                  <c:v>37</c:v>
                </c:pt>
                <c:pt idx="1021">
                  <c:v>31.02</c:v>
                </c:pt>
                <c:pt idx="1022">
                  <c:v>36.08</c:v>
                </c:pt>
                <c:pt idx="1023">
                  <c:v>23.32</c:v>
                </c:pt>
                <c:pt idx="1024">
                  <c:v>45.32</c:v>
                </c:pt>
                <c:pt idx="1025">
                  <c:v>34.6</c:v>
                </c:pt>
                <c:pt idx="1026">
                  <c:v>26.03</c:v>
                </c:pt>
                <c:pt idx="1027">
                  <c:v>18.715</c:v>
                </c:pt>
                <c:pt idx="1028">
                  <c:v>31.6</c:v>
                </c:pt>
                <c:pt idx="1029">
                  <c:v>17.29</c:v>
                </c:pt>
                <c:pt idx="1030">
                  <c:v>23.655000000000001</c:v>
                </c:pt>
                <c:pt idx="1031">
                  <c:v>35.200000000000003</c:v>
                </c:pt>
                <c:pt idx="1032">
                  <c:v>27.93</c:v>
                </c:pt>
                <c:pt idx="1033">
                  <c:v>21.565000000000001</c:v>
                </c:pt>
                <c:pt idx="1034">
                  <c:v>38.380000000000003</c:v>
                </c:pt>
                <c:pt idx="1035">
                  <c:v>23</c:v>
                </c:pt>
                <c:pt idx="1036">
                  <c:v>37.07</c:v>
                </c:pt>
                <c:pt idx="1037">
                  <c:v>30.495000000000001</c:v>
                </c:pt>
                <c:pt idx="1038">
                  <c:v>28.88</c:v>
                </c:pt>
                <c:pt idx="1039">
                  <c:v>27.265000000000001</c:v>
                </c:pt>
                <c:pt idx="1040">
                  <c:v>28.024999999999999</c:v>
                </c:pt>
                <c:pt idx="1041">
                  <c:v>23.085000000000001</c:v>
                </c:pt>
                <c:pt idx="1042">
                  <c:v>30.684999999999999</c:v>
                </c:pt>
                <c:pt idx="1043">
                  <c:v>25.8</c:v>
                </c:pt>
                <c:pt idx="1044">
                  <c:v>35.244999999999997</c:v>
                </c:pt>
                <c:pt idx="1045">
                  <c:v>24.7</c:v>
                </c:pt>
                <c:pt idx="1046">
                  <c:v>25.08</c:v>
                </c:pt>
                <c:pt idx="1047">
                  <c:v>52.58</c:v>
                </c:pt>
                <c:pt idx="1048">
                  <c:v>22.515000000000001</c:v>
                </c:pt>
                <c:pt idx="1049">
                  <c:v>30.9</c:v>
                </c:pt>
                <c:pt idx="1050">
                  <c:v>36.954999999999998</c:v>
                </c:pt>
                <c:pt idx="1051">
                  <c:v>26.41</c:v>
                </c:pt>
                <c:pt idx="1052">
                  <c:v>29.83</c:v>
                </c:pt>
                <c:pt idx="1053">
                  <c:v>29.8</c:v>
                </c:pt>
                <c:pt idx="1054">
                  <c:v>21.47</c:v>
                </c:pt>
                <c:pt idx="1055">
                  <c:v>27.645</c:v>
                </c:pt>
                <c:pt idx="1056">
                  <c:v>28.9</c:v>
                </c:pt>
                <c:pt idx="1057">
                  <c:v>31.79</c:v>
                </c:pt>
                <c:pt idx="1058">
                  <c:v>39.49</c:v>
                </c:pt>
                <c:pt idx="1059">
                  <c:v>33.82</c:v>
                </c:pt>
                <c:pt idx="1060">
                  <c:v>32.01</c:v>
                </c:pt>
                <c:pt idx="1061">
                  <c:v>27.94</c:v>
                </c:pt>
                <c:pt idx="1062">
                  <c:v>41.14</c:v>
                </c:pt>
                <c:pt idx="1063">
                  <c:v>28.594999999999999</c:v>
                </c:pt>
                <c:pt idx="1064">
                  <c:v>25.6</c:v>
                </c:pt>
                <c:pt idx="1065">
                  <c:v>25.3</c:v>
                </c:pt>
                <c:pt idx="1066">
                  <c:v>37.29</c:v>
                </c:pt>
                <c:pt idx="1067">
                  <c:v>42.655000000000001</c:v>
                </c:pt>
                <c:pt idx="1068">
                  <c:v>21.66</c:v>
                </c:pt>
                <c:pt idx="1069">
                  <c:v>31.9</c:v>
                </c:pt>
                <c:pt idx="1070">
                  <c:v>37.07</c:v>
                </c:pt>
                <c:pt idx="1071">
                  <c:v>31.445</c:v>
                </c:pt>
                <c:pt idx="1072">
                  <c:v>31.254999999999999</c:v>
                </c:pt>
                <c:pt idx="1073">
                  <c:v>28.88</c:v>
                </c:pt>
                <c:pt idx="1074">
                  <c:v>18.335000000000001</c:v>
                </c:pt>
                <c:pt idx="1075">
                  <c:v>29.59</c:v>
                </c:pt>
                <c:pt idx="1076">
                  <c:v>32</c:v>
                </c:pt>
                <c:pt idx="1077">
                  <c:v>26.03</c:v>
                </c:pt>
                <c:pt idx="1078">
                  <c:v>31.68</c:v>
                </c:pt>
                <c:pt idx="1079">
                  <c:v>33.659999999999997</c:v>
                </c:pt>
                <c:pt idx="1080">
                  <c:v>21.78</c:v>
                </c:pt>
                <c:pt idx="1081">
                  <c:v>27.835000000000001</c:v>
                </c:pt>
                <c:pt idx="1082">
                  <c:v>19.95</c:v>
                </c:pt>
                <c:pt idx="1083">
                  <c:v>31.5</c:v>
                </c:pt>
                <c:pt idx="1084">
                  <c:v>30.495000000000001</c:v>
                </c:pt>
                <c:pt idx="1085">
                  <c:v>18.3</c:v>
                </c:pt>
                <c:pt idx="1086">
                  <c:v>28.975000000000001</c:v>
                </c:pt>
                <c:pt idx="1087">
                  <c:v>31.54</c:v>
                </c:pt>
                <c:pt idx="1088">
                  <c:v>47.74</c:v>
                </c:pt>
                <c:pt idx="1089">
                  <c:v>22.1</c:v>
                </c:pt>
                <c:pt idx="1090">
                  <c:v>36.19</c:v>
                </c:pt>
                <c:pt idx="1091">
                  <c:v>29.83</c:v>
                </c:pt>
                <c:pt idx="1092">
                  <c:v>32.700000000000003</c:v>
                </c:pt>
                <c:pt idx="1093">
                  <c:v>30.4</c:v>
                </c:pt>
                <c:pt idx="1094">
                  <c:v>33.700000000000003</c:v>
                </c:pt>
                <c:pt idx="1095">
                  <c:v>31.35</c:v>
                </c:pt>
                <c:pt idx="1096">
                  <c:v>34.96</c:v>
                </c:pt>
                <c:pt idx="1097">
                  <c:v>33.770000000000003</c:v>
                </c:pt>
                <c:pt idx="1098">
                  <c:v>30.875</c:v>
                </c:pt>
                <c:pt idx="1099">
                  <c:v>33.99</c:v>
                </c:pt>
                <c:pt idx="1100">
                  <c:v>19.094999999999999</c:v>
                </c:pt>
                <c:pt idx="1101">
                  <c:v>28.6</c:v>
                </c:pt>
                <c:pt idx="1102">
                  <c:v>38.94</c:v>
                </c:pt>
                <c:pt idx="1103">
                  <c:v>36.08</c:v>
                </c:pt>
                <c:pt idx="1104">
                  <c:v>29.8</c:v>
                </c:pt>
                <c:pt idx="1105">
                  <c:v>31.24</c:v>
                </c:pt>
                <c:pt idx="1106">
                  <c:v>29.925000000000001</c:v>
                </c:pt>
                <c:pt idx="1107">
                  <c:v>26.22</c:v>
                </c:pt>
                <c:pt idx="1108">
                  <c:v>30</c:v>
                </c:pt>
                <c:pt idx="1109">
                  <c:v>20.350000000000001</c:v>
                </c:pt>
                <c:pt idx="1110">
                  <c:v>32.299999999999997</c:v>
                </c:pt>
                <c:pt idx="1111">
                  <c:v>38.39</c:v>
                </c:pt>
                <c:pt idx="1112">
                  <c:v>25.85</c:v>
                </c:pt>
                <c:pt idx="1113">
                  <c:v>26.315000000000001</c:v>
                </c:pt>
                <c:pt idx="1114">
                  <c:v>24.51</c:v>
                </c:pt>
                <c:pt idx="1115">
                  <c:v>32.67</c:v>
                </c:pt>
                <c:pt idx="1116">
                  <c:v>29.64</c:v>
                </c:pt>
                <c:pt idx="1117">
                  <c:v>33.33</c:v>
                </c:pt>
                <c:pt idx="1118">
                  <c:v>35.75</c:v>
                </c:pt>
                <c:pt idx="1119">
                  <c:v>19.95</c:v>
                </c:pt>
                <c:pt idx="1120">
                  <c:v>31.4</c:v>
                </c:pt>
                <c:pt idx="1121">
                  <c:v>38.17</c:v>
                </c:pt>
                <c:pt idx="1122">
                  <c:v>36.86</c:v>
                </c:pt>
                <c:pt idx="1123">
                  <c:v>32.395000000000003</c:v>
                </c:pt>
                <c:pt idx="1124">
                  <c:v>42.75</c:v>
                </c:pt>
                <c:pt idx="1125">
                  <c:v>25.08</c:v>
                </c:pt>
                <c:pt idx="1126">
                  <c:v>29.9</c:v>
                </c:pt>
                <c:pt idx="1127">
                  <c:v>35.86</c:v>
                </c:pt>
                <c:pt idx="1128">
                  <c:v>32.799999999999997</c:v>
                </c:pt>
                <c:pt idx="1129">
                  <c:v>18.600000000000001</c:v>
                </c:pt>
                <c:pt idx="1130">
                  <c:v>23.87</c:v>
                </c:pt>
                <c:pt idx="1131">
                  <c:v>45.9</c:v>
                </c:pt>
                <c:pt idx="1132">
                  <c:v>40.28</c:v>
                </c:pt>
                <c:pt idx="1133">
                  <c:v>18.335000000000001</c:v>
                </c:pt>
                <c:pt idx="1134">
                  <c:v>33.82</c:v>
                </c:pt>
                <c:pt idx="1135">
                  <c:v>28.12</c:v>
                </c:pt>
                <c:pt idx="1136">
                  <c:v>25</c:v>
                </c:pt>
                <c:pt idx="1137">
                  <c:v>22.23</c:v>
                </c:pt>
                <c:pt idx="1138">
                  <c:v>30.25</c:v>
                </c:pt>
                <c:pt idx="1139">
                  <c:v>32.49</c:v>
                </c:pt>
                <c:pt idx="1140">
                  <c:v>37.07</c:v>
                </c:pt>
                <c:pt idx="1141">
                  <c:v>32.6</c:v>
                </c:pt>
                <c:pt idx="1142">
                  <c:v>24.86</c:v>
                </c:pt>
                <c:pt idx="1143">
                  <c:v>32.340000000000003</c:v>
                </c:pt>
                <c:pt idx="1144">
                  <c:v>32.299999999999997</c:v>
                </c:pt>
                <c:pt idx="1145">
                  <c:v>32.774999999999999</c:v>
                </c:pt>
                <c:pt idx="1146">
                  <c:v>32.799999999999997</c:v>
                </c:pt>
                <c:pt idx="1147">
                  <c:v>31.92</c:v>
                </c:pt>
                <c:pt idx="1148">
                  <c:v>21.5</c:v>
                </c:pt>
                <c:pt idx="1149">
                  <c:v>34.1</c:v>
                </c:pt>
                <c:pt idx="1150">
                  <c:v>30.305</c:v>
                </c:pt>
                <c:pt idx="1151">
                  <c:v>36.479999999999997</c:v>
                </c:pt>
                <c:pt idx="1152">
                  <c:v>32.56</c:v>
                </c:pt>
                <c:pt idx="1153">
                  <c:v>35.814999999999998</c:v>
                </c:pt>
                <c:pt idx="1154">
                  <c:v>27.93</c:v>
                </c:pt>
                <c:pt idx="1155">
                  <c:v>22.135000000000002</c:v>
                </c:pt>
                <c:pt idx="1156">
                  <c:v>44.88</c:v>
                </c:pt>
                <c:pt idx="1157">
                  <c:v>23.18</c:v>
                </c:pt>
                <c:pt idx="1158">
                  <c:v>30.59</c:v>
                </c:pt>
                <c:pt idx="1159">
                  <c:v>41.1</c:v>
                </c:pt>
                <c:pt idx="1160">
                  <c:v>34.58</c:v>
                </c:pt>
                <c:pt idx="1161">
                  <c:v>42.13</c:v>
                </c:pt>
                <c:pt idx="1162">
                  <c:v>38.83</c:v>
                </c:pt>
                <c:pt idx="1163">
                  <c:v>28.215</c:v>
                </c:pt>
                <c:pt idx="1164">
                  <c:v>28.31</c:v>
                </c:pt>
                <c:pt idx="1165">
                  <c:v>26.125</c:v>
                </c:pt>
                <c:pt idx="1166">
                  <c:v>40.369999999999997</c:v>
                </c:pt>
                <c:pt idx="1167">
                  <c:v>24.6</c:v>
                </c:pt>
                <c:pt idx="1168">
                  <c:v>35.200000000000003</c:v>
                </c:pt>
                <c:pt idx="1169">
                  <c:v>34.104999999999997</c:v>
                </c:pt>
                <c:pt idx="1170">
                  <c:v>27.36</c:v>
                </c:pt>
                <c:pt idx="1171">
                  <c:v>26.7</c:v>
                </c:pt>
                <c:pt idx="1172">
                  <c:v>41.91</c:v>
                </c:pt>
                <c:pt idx="1173">
                  <c:v>29.26</c:v>
                </c:pt>
                <c:pt idx="1174">
                  <c:v>32.11</c:v>
                </c:pt>
                <c:pt idx="1175">
                  <c:v>27.1</c:v>
                </c:pt>
                <c:pt idx="1176">
                  <c:v>24.13</c:v>
                </c:pt>
                <c:pt idx="1177">
                  <c:v>27.4</c:v>
                </c:pt>
                <c:pt idx="1178">
                  <c:v>34.865000000000002</c:v>
                </c:pt>
                <c:pt idx="1179">
                  <c:v>29.81</c:v>
                </c:pt>
                <c:pt idx="1180">
                  <c:v>41.325000000000003</c:v>
                </c:pt>
                <c:pt idx="1181">
                  <c:v>29.925000000000001</c:v>
                </c:pt>
                <c:pt idx="1182">
                  <c:v>30.3</c:v>
                </c:pt>
                <c:pt idx="1183">
                  <c:v>27.36</c:v>
                </c:pt>
                <c:pt idx="1184">
                  <c:v>28.49</c:v>
                </c:pt>
                <c:pt idx="1185">
                  <c:v>23.56</c:v>
                </c:pt>
                <c:pt idx="1186">
                  <c:v>35.625</c:v>
                </c:pt>
                <c:pt idx="1187">
                  <c:v>32.68</c:v>
                </c:pt>
                <c:pt idx="1188">
                  <c:v>25.27</c:v>
                </c:pt>
                <c:pt idx="1189">
                  <c:v>28</c:v>
                </c:pt>
                <c:pt idx="1190">
                  <c:v>32.774999999999999</c:v>
                </c:pt>
                <c:pt idx="1191">
                  <c:v>21.754999999999999</c:v>
                </c:pt>
                <c:pt idx="1192">
                  <c:v>32.395000000000003</c:v>
                </c:pt>
                <c:pt idx="1193">
                  <c:v>36.575000000000003</c:v>
                </c:pt>
                <c:pt idx="1194">
                  <c:v>21.754999999999999</c:v>
                </c:pt>
                <c:pt idx="1195">
                  <c:v>27.93</c:v>
                </c:pt>
                <c:pt idx="1196">
                  <c:v>30.02</c:v>
                </c:pt>
                <c:pt idx="1197">
                  <c:v>33.549999999999997</c:v>
                </c:pt>
                <c:pt idx="1198">
                  <c:v>29.355</c:v>
                </c:pt>
                <c:pt idx="1199">
                  <c:v>25.8</c:v>
                </c:pt>
                <c:pt idx="1200">
                  <c:v>24.32</c:v>
                </c:pt>
                <c:pt idx="1201">
                  <c:v>40.375</c:v>
                </c:pt>
                <c:pt idx="1202">
                  <c:v>32.11</c:v>
                </c:pt>
                <c:pt idx="1203">
                  <c:v>32.299999999999997</c:v>
                </c:pt>
                <c:pt idx="1204">
                  <c:v>27.28</c:v>
                </c:pt>
                <c:pt idx="1205">
                  <c:v>17.86</c:v>
                </c:pt>
                <c:pt idx="1206">
                  <c:v>34.799999999999997</c:v>
                </c:pt>
                <c:pt idx="1207">
                  <c:v>33.4</c:v>
                </c:pt>
                <c:pt idx="1208">
                  <c:v>25.555</c:v>
                </c:pt>
                <c:pt idx="1209">
                  <c:v>37.1</c:v>
                </c:pt>
                <c:pt idx="1210">
                  <c:v>30.875</c:v>
                </c:pt>
                <c:pt idx="1211">
                  <c:v>34.1</c:v>
                </c:pt>
                <c:pt idx="1212">
                  <c:v>21.47</c:v>
                </c:pt>
                <c:pt idx="1213">
                  <c:v>33.299999999999997</c:v>
                </c:pt>
                <c:pt idx="1214">
                  <c:v>31.254999999999999</c:v>
                </c:pt>
                <c:pt idx="1215">
                  <c:v>39.14</c:v>
                </c:pt>
                <c:pt idx="1216">
                  <c:v>25.08</c:v>
                </c:pt>
                <c:pt idx="1217">
                  <c:v>37.29</c:v>
                </c:pt>
                <c:pt idx="1218">
                  <c:v>34.6</c:v>
                </c:pt>
                <c:pt idx="1219">
                  <c:v>30.21</c:v>
                </c:pt>
                <c:pt idx="1220">
                  <c:v>21.945</c:v>
                </c:pt>
                <c:pt idx="1221">
                  <c:v>24.97</c:v>
                </c:pt>
                <c:pt idx="1222">
                  <c:v>25.3</c:v>
                </c:pt>
                <c:pt idx="1223">
                  <c:v>24.42</c:v>
                </c:pt>
                <c:pt idx="1224">
                  <c:v>23.94</c:v>
                </c:pt>
                <c:pt idx="1225">
                  <c:v>39.82</c:v>
                </c:pt>
                <c:pt idx="1226">
                  <c:v>16.815000000000001</c:v>
                </c:pt>
                <c:pt idx="1227">
                  <c:v>37.18</c:v>
                </c:pt>
                <c:pt idx="1228">
                  <c:v>34.43</c:v>
                </c:pt>
                <c:pt idx="1229">
                  <c:v>30.305</c:v>
                </c:pt>
                <c:pt idx="1230">
                  <c:v>34.484999999999999</c:v>
                </c:pt>
                <c:pt idx="1231">
                  <c:v>21.8</c:v>
                </c:pt>
                <c:pt idx="1232">
                  <c:v>24.605</c:v>
                </c:pt>
                <c:pt idx="1233">
                  <c:v>23.3</c:v>
                </c:pt>
                <c:pt idx="1234">
                  <c:v>27.83</c:v>
                </c:pt>
                <c:pt idx="1235">
                  <c:v>31.065000000000001</c:v>
                </c:pt>
                <c:pt idx="1236">
                  <c:v>21.66</c:v>
                </c:pt>
                <c:pt idx="1237">
                  <c:v>28.215</c:v>
                </c:pt>
                <c:pt idx="1238">
                  <c:v>22.704999999999998</c:v>
                </c:pt>
                <c:pt idx="1239">
                  <c:v>42.13</c:v>
                </c:pt>
                <c:pt idx="1240">
                  <c:v>41.8</c:v>
                </c:pt>
                <c:pt idx="1241">
                  <c:v>36.96</c:v>
                </c:pt>
                <c:pt idx="1242">
                  <c:v>21.28</c:v>
                </c:pt>
                <c:pt idx="1243">
                  <c:v>33.11</c:v>
                </c:pt>
                <c:pt idx="1244">
                  <c:v>33.33</c:v>
                </c:pt>
                <c:pt idx="1245">
                  <c:v>24.3</c:v>
                </c:pt>
                <c:pt idx="1246">
                  <c:v>25.7</c:v>
                </c:pt>
                <c:pt idx="1247">
                  <c:v>29.4</c:v>
                </c:pt>
                <c:pt idx="1248">
                  <c:v>39.82</c:v>
                </c:pt>
                <c:pt idx="1249">
                  <c:v>33.630000000000003</c:v>
                </c:pt>
                <c:pt idx="1250">
                  <c:v>29.83</c:v>
                </c:pt>
                <c:pt idx="1251">
                  <c:v>19.8</c:v>
                </c:pt>
                <c:pt idx="1252">
                  <c:v>27.3</c:v>
                </c:pt>
                <c:pt idx="1253">
                  <c:v>29.3</c:v>
                </c:pt>
                <c:pt idx="1254">
                  <c:v>27.72</c:v>
                </c:pt>
                <c:pt idx="1255">
                  <c:v>37.9</c:v>
                </c:pt>
                <c:pt idx="1256">
                  <c:v>36.384999999999998</c:v>
                </c:pt>
                <c:pt idx="1257">
                  <c:v>27.645</c:v>
                </c:pt>
                <c:pt idx="1258">
                  <c:v>37.715000000000003</c:v>
                </c:pt>
                <c:pt idx="1259">
                  <c:v>23.18</c:v>
                </c:pt>
                <c:pt idx="1260">
                  <c:v>20.52</c:v>
                </c:pt>
                <c:pt idx="1261">
                  <c:v>37.1</c:v>
                </c:pt>
                <c:pt idx="1262">
                  <c:v>28.05</c:v>
                </c:pt>
                <c:pt idx="1263">
                  <c:v>29.9</c:v>
                </c:pt>
                <c:pt idx="1264">
                  <c:v>33.344999999999999</c:v>
                </c:pt>
                <c:pt idx="1265">
                  <c:v>23.76</c:v>
                </c:pt>
                <c:pt idx="1266">
                  <c:v>30.5</c:v>
                </c:pt>
                <c:pt idx="1267">
                  <c:v>31.065000000000001</c:v>
                </c:pt>
                <c:pt idx="1268">
                  <c:v>33.299999999999997</c:v>
                </c:pt>
                <c:pt idx="1269">
                  <c:v>27.5</c:v>
                </c:pt>
                <c:pt idx="1270">
                  <c:v>33.914999999999999</c:v>
                </c:pt>
                <c:pt idx="1271">
                  <c:v>34.484999999999999</c:v>
                </c:pt>
                <c:pt idx="1272">
                  <c:v>25.52</c:v>
                </c:pt>
                <c:pt idx="1273">
                  <c:v>27.61</c:v>
                </c:pt>
                <c:pt idx="1274">
                  <c:v>27.06</c:v>
                </c:pt>
                <c:pt idx="1275">
                  <c:v>23.7</c:v>
                </c:pt>
                <c:pt idx="1276">
                  <c:v>30.4</c:v>
                </c:pt>
                <c:pt idx="1277">
                  <c:v>29.734999999999999</c:v>
                </c:pt>
                <c:pt idx="1278">
                  <c:v>29.925000000000001</c:v>
                </c:pt>
                <c:pt idx="1279">
                  <c:v>26.79</c:v>
                </c:pt>
                <c:pt idx="1280">
                  <c:v>33.33</c:v>
                </c:pt>
                <c:pt idx="1281">
                  <c:v>27.645</c:v>
                </c:pt>
                <c:pt idx="1282">
                  <c:v>21.66</c:v>
                </c:pt>
                <c:pt idx="1283">
                  <c:v>30.03</c:v>
                </c:pt>
                <c:pt idx="1284">
                  <c:v>36.299999999999997</c:v>
                </c:pt>
                <c:pt idx="1285">
                  <c:v>24.32</c:v>
                </c:pt>
                <c:pt idx="1286">
                  <c:v>17.29</c:v>
                </c:pt>
                <c:pt idx="1287">
                  <c:v>25.9</c:v>
                </c:pt>
                <c:pt idx="1288">
                  <c:v>39.4</c:v>
                </c:pt>
                <c:pt idx="1289">
                  <c:v>34.32</c:v>
                </c:pt>
                <c:pt idx="1290">
                  <c:v>19.95</c:v>
                </c:pt>
                <c:pt idx="1291">
                  <c:v>34.9</c:v>
                </c:pt>
                <c:pt idx="1292">
                  <c:v>23.21</c:v>
                </c:pt>
                <c:pt idx="1293">
                  <c:v>25.745000000000001</c:v>
                </c:pt>
                <c:pt idx="1294">
                  <c:v>25.175000000000001</c:v>
                </c:pt>
                <c:pt idx="1295">
                  <c:v>22</c:v>
                </c:pt>
                <c:pt idx="1296">
                  <c:v>26.125</c:v>
                </c:pt>
                <c:pt idx="1297">
                  <c:v>26.51</c:v>
                </c:pt>
                <c:pt idx="1298">
                  <c:v>27.454999999999998</c:v>
                </c:pt>
                <c:pt idx="1299">
                  <c:v>25.745000000000001</c:v>
                </c:pt>
                <c:pt idx="1300">
                  <c:v>30.36</c:v>
                </c:pt>
                <c:pt idx="1301">
                  <c:v>30.875</c:v>
                </c:pt>
                <c:pt idx="1302">
                  <c:v>20.8</c:v>
                </c:pt>
                <c:pt idx="1303">
                  <c:v>27.8</c:v>
                </c:pt>
                <c:pt idx="1304">
                  <c:v>24.605</c:v>
                </c:pt>
                <c:pt idx="1305">
                  <c:v>27.72</c:v>
                </c:pt>
                <c:pt idx="1306">
                  <c:v>21.85</c:v>
                </c:pt>
                <c:pt idx="1307">
                  <c:v>28.12</c:v>
                </c:pt>
                <c:pt idx="1308">
                  <c:v>30.2</c:v>
                </c:pt>
                <c:pt idx="1309">
                  <c:v>32.200000000000003</c:v>
                </c:pt>
                <c:pt idx="1310">
                  <c:v>26.315000000000001</c:v>
                </c:pt>
                <c:pt idx="1311">
                  <c:v>26.695</c:v>
                </c:pt>
                <c:pt idx="1312">
                  <c:v>42.9</c:v>
                </c:pt>
                <c:pt idx="1313">
                  <c:v>34.700000000000003</c:v>
                </c:pt>
                <c:pt idx="1314">
                  <c:v>23.655000000000001</c:v>
                </c:pt>
                <c:pt idx="1315">
                  <c:v>28.31</c:v>
                </c:pt>
                <c:pt idx="1316">
                  <c:v>20.6</c:v>
                </c:pt>
                <c:pt idx="1317">
                  <c:v>53.13</c:v>
                </c:pt>
                <c:pt idx="1318">
                  <c:v>39.71</c:v>
                </c:pt>
                <c:pt idx="1319">
                  <c:v>26.315000000000001</c:v>
                </c:pt>
                <c:pt idx="1320">
                  <c:v>31.065000000000001</c:v>
                </c:pt>
                <c:pt idx="1321">
                  <c:v>26.695</c:v>
                </c:pt>
                <c:pt idx="1322">
                  <c:v>38.83</c:v>
                </c:pt>
                <c:pt idx="1323">
                  <c:v>40.369999999999997</c:v>
                </c:pt>
                <c:pt idx="1324">
                  <c:v>25.934999999999999</c:v>
                </c:pt>
                <c:pt idx="1325">
                  <c:v>33.534999999999997</c:v>
                </c:pt>
                <c:pt idx="1326">
                  <c:v>32.869999999999997</c:v>
                </c:pt>
                <c:pt idx="1327">
                  <c:v>30.03</c:v>
                </c:pt>
                <c:pt idx="1328">
                  <c:v>24.225000000000001</c:v>
                </c:pt>
                <c:pt idx="1329">
                  <c:v>38.6</c:v>
                </c:pt>
                <c:pt idx="1330">
                  <c:v>25.74</c:v>
                </c:pt>
                <c:pt idx="1331">
                  <c:v>33.4</c:v>
                </c:pt>
                <c:pt idx="1332">
                  <c:v>44.7</c:v>
                </c:pt>
                <c:pt idx="1333">
                  <c:v>30.97</c:v>
                </c:pt>
                <c:pt idx="1334">
                  <c:v>31.92</c:v>
                </c:pt>
                <c:pt idx="1335">
                  <c:v>36.85</c:v>
                </c:pt>
                <c:pt idx="1336">
                  <c:v>25.8</c:v>
                </c:pt>
                <c:pt idx="1337">
                  <c:v>29.07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D2-1840-9DBD-B9150B5C5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249135"/>
        <c:axId val="2072250847"/>
      </c:scatterChart>
      <c:valAx>
        <c:axId val="2072249135"/>
        <c:scaling>
          <c:orientation val="minMax"/>
        </c:scaling>
        <c:delete val="0"/>
        <c:axPos val="b"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72250847"/>
        <c:crosses val="autoZero"/>
        <c:crossBetween val="midCat"/>
      </c:valAx>
      <c:valAx>
        <c:axId val="2072250847"/>
        <c:scaling>
          <c:orientation val="minMax"/>
        </c:scaling>
        <c:delete val="0"/>
        <c:axPos val="l"/>
        <c:majorGridlines>
          <c:spPr>
            <a:ln>
              <a:solidFill>
                <a:srgbClr val="EEEEFF"/>
              </a:solidFill>
            </a:ln>
          </c:spPr>
        </c:majorGridlines>
        <c:numFmt formatCode="0.000" sourceLinked="0"/>
        <c:majorTickMark val="out"/>
        <c:minorTickMark val="none"/>
        <c:tickLblPos val="nextTo"/>
        <c:crossAx val="207224913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/>
            </a:pPr>
            <a:r>
              <a:rPr lang="en-GB" sz="1000" b="0"/>
              <a:t>bmi vs children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3"/>
            <c:spPr>
              <a:ln/>
            </c:spPr>
          </c:marker>
          <c:xVal>
            <c:numRef>
              <c:f>insurance!$D$2:$D$1339</c:f>
              <c:numCache>
                <c:formatCode>General</c:formatCode>
                <c:ptCount val="133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3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0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5</c:v>
                </c:pt>
                <c:pt idx="72">
                  <c:v>3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4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2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3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2</c:v>
                </c:pt>
                <c:pt idx="164">
                  <c:v>0</c:v>
                </c:pt>
                <c:pt idx="165">
                  <c:v>4</c:v>
                </c:pt>
                <c:pt idx="166">
                  <c:v>5</c:v>
                </c:pt>
                <c:pt idx="167">
                  <c:v>3</c:v>
                </c:pt>
                <c:pt idx="168">
                  <c:v>1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3</c:v>
                </c:pt>
                <c:pt idx="183">
                  <c:v>0</c:v>
                </c:pt>
                <c:pt idx="184">
                  <c:v>2</c:v>
                </c:pt>
                <c:pt idx="185">
                  <c:v>3</c:v>
                </c:pt>
                <c:pt idx="186">
                  <c:v>2</c:v>
                </c:pt>
                <c:pt idx="187">
                  <c:v>3</c:v>
                </c:pt>
                <c:pt idx="188">
                  <c:v>1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2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4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3</c:v>
                </c:pt>
                <c:pt idx="223">
                  <c:v>0</c:v>
                </c:pt>
                <c:pt idx="224">
                  <c:v>0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0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0</c:v>
                </c:pt>
                <c:pt idx="237">
                  <c:v>2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3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3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3</c:v>
                </c:pt>
                <c:pt idx="263">
                  <c:v>0</c:v>
                </c:pt>
                <c:pt idx="264">
                  <c:v>3</c:v>
                </c:pt>
                <c:pt idx="265">
                  <c:v>3</c:v>
                </c:pt>
                <c:pt idx="266">
                  <c:v>1</c:v>
                </c:pt>
                <c:pt idx="267">
                  <c:v>3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2</c:v>
                </c:pt>
                <c:pt idx="277">
                  <c:v>0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3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3</c:v>
                </c:pt>
                <c:pt idx="290">
                  <c:v>0</c:v>
                </c:pt>
                <c:pt idx="291">
                  <c:v>1</c:v>
                </c:pt>
                <c:pt idx="292">
                  <c:v>2</c:v>
                </c:pt>
                <c:pt idx="293">
                  <c:v>0</c:v>
                </c:pt>
                <c:pt idx="294">
                  <c:v>3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</c:v>
                </c:pt>
                <c:pt idx="345">
                  <c:v>3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</c:v>
                </c:pt>
                <c:pt idx="357">
                  <c:v>3</c:v>
                </c:pt>
                <c:pt idx="358">
                  <c:v>0</c:v>
                </c:pt>
                <c:pt idx="359">
                  <c:v>0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2</c:v>
                </c:pt>
                <c:pt idx="369">
                  <c:v>3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2</c:v>
                </c:pt>
                <c:pt idx="374">
                  <c:v>0</c:v>
                </c:pt>
                <c:pt idx="375">
                  <c:v>0</c:v>
                </c:pt>
                <c:pt idx="376">
                  <c:v>3</c:v>
                </c:pt>
                <c:pt idx="377">
                  <c:v>0</c:v>
                </c:pt>
                <c:pt idx="378">
                  <c:v>3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2</c:v>
                </c:pt>
                <c:pt idx="384">
                  <c:v>2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3</c:v>
                </c:pt>
                <c:pt idx="390">
                  <c:v>4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2</c:v>
                </c:pt>
                <c:pt idx="395">
                  <c:v>0</c:v>
                </c:pt>
                <c:pt idx="396">
                  <c:v>3</c:v>
                </c:pt>
                <c:pt idx="397">
                  <c:v>0</c:v>
                </c:pt>
                <c:pt idx="398">
                  <c:v>2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3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1</c:v>
                </c:pt>
                <c:pt idx="408">
                  <c:v>3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2</c:v>
                </c:pt>
                <c:pt idx="413">
                  <c:v>5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2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2</c:v>
                </c:pt>
                <c:pt idx="425">
                  <c:v>5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3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3</c:v>
                </c:pt>
                <c:pt idx="438">
                  <c:v>5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4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2</c:v>
                </c:pt>
                <c:pt idx="457">
                  <c:v>0</c:v>
                </c:pt>
                <c:pt idx="458">
                  <c:v>0</c:v>
                </c:pt>
                <c:pt idx="459">
                  <c:v>3</c:v>
                </c:pt>
                <c:pt idx="460">
                  <c:v>3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3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</c:v>
                </c:pt>
                <c:pt idx="481">
                  <c:v>2</c:v>
                </c:pt>
                <c:pt idx="482">
                  <c:v>0</c:v>
                </c:pt>
                <c:pt idx="483">
                  <c:v>1</c:v>
                </c:pt>
                <c:pt idx="484">
                  <c:v>3</c:v>
                </c:pt>
                <c:pt idx="485">
                  <c:v>0</c:v>
                </c:pt>
                <c:pt idx="486">
                  <c:v>3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1</c:v>
                </c:pt>
                <c:pt idx="505">
                  <c:v>3</c:v>
                </c:pt>
                <c:pt idx="506">
                  <c:v>1</c:v>
                </c:pt>
                <c:pt idx="507">
                  <c:v>2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2</c:v>
                </c:pt>
                <c:pt idx="527">
                  <c:v>1</c:v>
                </c:pt>
                <c:pt idx="528">
                  <c:v>1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2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0</c:v>
                </c:pt>
                <c:pt idx="540">
                  <c:v>3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2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1</c:v>
                </c:pt>
                <c:pt idx="557">
                  <c:v>0</c:v>
                </c:pt>
                <c:pt idx="558">
                  <c:v>3</c:v>
                </c:pt>
                <c:pt idx="559">
                  <c:v>0</c:v>
                </c:pt>
                <c:pt idx="560">
                  <c:v>2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2</c:v>
                </c:pt>
                <c:pt idx="565">
                  <c:v>0</c:v>
                </c:pt>
                <c:pt idx="566">
                  <c:v>1</c:v>
                </c:pt>
                <c:pt idx="567">
                  <c:v>2</c:v>
                </c:pt>
                <c:pt idx="568">
                  <c:v>5</c:v>
                </c:pt>
                <c:pt idx="569">
                  <c:v>2</c:v>
                </c:pt>
                <c:pt idx="570">
                  <c:v>0</c:v>
                </c:pt>
                <c:pt idx="571">
                  <c:v>1</c:v>
                </c:pt>
                <c:pt idx="572">
                  <c:v>2</c:v>
                </c:pt>
                <c:pt idx="573">
                  <c:v>1</c:v>
                </c:pt>
                <c:pt idx="574">
                  <c:v>2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3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2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3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3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2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2</c:v>
                </c:pt>
                <c:pt idx="638">
                  <c:v>0</c:v>
                </c:pt>
                <c:pt idx="639">
                  <c:v>4</c:v>
                </c:pt>
                <c:pt idx="640">
                  <c:v>5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2</c:v>
                </c:pt>
                <c:pt idx="645">
                  <c:v>3</c:v>
                </c:pt>
                <c:pt idx="646">
                  <c:v>1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2</c:v>
                </c:pt>
                <c:pt idx="651">
                  <c:v>1</c:v>
                </c:pt>
                <c:pt idx="652">
                  <c:v>0</c:v>
                </c:pt>
                <c:pt idx="653">
                  <c:v>2</c:v>
                </c:pt>
                <c:pt idx="654">
                  <c:v>0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4</c:v>
                </c:pt>
                <c:pt idx="660">
                  <c:v>3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0</c:v>
                </c:pt>
                <c:pt idx="669">
                  <c:v>1</c:v>
                </c:pt>
                <c:pt idx="670">
                  <c:v>3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2</c:v>
                </c:pt>
                <c:pt idx="680">
                  <c:v>1</c:v>
                </c:pt>
                <c:pt idx="681">
                  <c:v>0</c:v>
                </c:pt>
                <c:pt idx="682">
                  <c:v>2</c:v>
                </c:pt>
                <c:pt idx="683">
                  <c:v>0</c:v>
                </c:pt>
                <c:pt idx="684">
                  <c:v>1</c:v>
                </c:pt>
                <c:pt idx="685">
                  <c:v>2</c:v>
                </c:pt>
                <c:pt idx="686">
                  <c:v>2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2</c:v>
                </c:pt>
                <c:pt idx="697">
                  <c:v>1</c:v>
                </c:pt>
                <c:pt idx="698">
                  <c:v>0</c:v>
                </c:pt>
                <c:pt idx="699">
                  <c:v>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0</c:v>
                </c:pt>
                <c:pt idx="707">
                  <c:v>3</c:v>
                </c:pt>
                <c:pt idx="708">
                  <c:v>3</c:v>
                </c:pt>
                <c:pt idx="709">
                  <c:v>0</c:v>
                </c:pt>
                <c:pt idx="710">
                  <c:v>1</c:v>
                </c:pt>
                <c:pt idx="711">
                  <c:v>2</c:v>
                </c:pt>
                <c:pt idx="712">
                  <c:v>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2</c:v>
                </c:pt>
                <c:pt idx="719">
                  <c:v>0</c:v>
                </c:pt>
                <c:pt idx="720">
                  <c:v>0</c:v>
                </c:pt>
                <c:pt idx="721">
                  <c:v>3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3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3</c:v>
                </c:pt>
                <c:pt idx="731">
                  <c:v>1</c:v>
                </c:pt>
                <c:pt idx="732">
                  <c:v>3</c:v>
                </c:pt>
                <c:pt idx="733">
                  <c:v>1</c:v>
                </c:pt>
                <c:pt idx="734">
                  <c:v>3</c:v>
                </c:pt>
                <c:pt idx="735">
                  <c:v>1</c:v>
                </c:pt>
                <c:pt idx="736">
                  <c:v>0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2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4</c:v>
                </c:pt>
                <c:pt idx="755">
                  <c:v>2</c:v>
                </c:pt>
                <c:pt idx="756">
                  <c:v>3</c:v>
                </c:pt>
                <c:pt idx="757">
                  <c:v>0</c:v>
                </c:pt>
                <c:pt idx="758">
                  <c:v>3</c:v>
                </c:pt>
                <c:pt idx="759">
                  <c:v>0</c:v>
                </c:pt>
                <c:pt idx="760">
                  <c:v>2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2</c:v>
                </c:pt>
                <c:pt idx="770">
                  <c:v>3</c:v>
                </c:pt>
                <c:pt idx="771">
                  <c:v>2</c:v>
                </c:pt>
                <c:pt idx="772">
                  <c:v>0</c:v>
                </c:pt>
                <c:pt idx="773">
                  <c:v>0</c:v>
                </c:pt>
                <c:pt idx="774">
                  <c:v>2</c:v>
                </c:pt>
                <c:pt idx="775">
                  <c:v>3</c:v>
                </c:pt>
                <c:pt idx="776">
                  <c:v>2</c:v>
                </c:pt>
                <c:pt idx="777">
                  <c:v>0</c:v>
                </c:pt>
                <c:pt idx="778">
                  <c:v>3</c:v>
                </c:pt>
                <c:pt idx="779">
                  <c:v>0</c:v>
                </c:pt>
                <c:pt idx="780">
                  <c:v>3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0</c:v>
                </c:pt>
                <c:pt idx="788">
                  <c:v>3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2</c:v>
                </c:pt>
                <c:pt idx="797">
                  <c:v>1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0</c:v>
                </c:pt>
                <c:pt idx="817">
                  <c:v>3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3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0</c:v>
                </c:pt>
                <c:pt idx="834">
                  <c:v>1</c:v>
                </c:pt>
                <c:pt idx="835">
                  <c:v>2</c:v>
                </c:pt>
                <c:pt idx="836">
                  <c:v>0</c:v>
                </c:pt>
                <c:pt idx="837">
                  <c:v>0</c:v>
                </c:pt>
                <c:pt idx="838">
                  <c:v>2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2</c:v>
                </c:pt>
                <c:pt idx="854">
                  <c:v>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2</c:v>
                </c:pt>
                <c:pt idx="861">
                  <c:v>3</c:v>
                </c:pt>
                <c:pt idx="862">
                  <c:v>2</c:v>
                </c:pt>
                <c:pt idx="863">
                  <c:v>0</c:v>
                </c:pt>
                <c:pt idx="864">
                  <c:v>0</c:v>
                </c:pt>
                <c:pt idx="865">
                  <c:v>2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3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3</c:v>
                </c:pt>
                <c:pt idx="875">
                  <c:v>0</c:v>
                </c:pt>
                <c:pt idx="876">
                  <c:v>1</c:v>
                </c:pt>
                <c:pt idx="877">
                  <c:v>5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1</c:v>
                </c:pt>
                <c:pt idx="882">
                  <c:v>0</c:v>
                </c:pt>
                <c:pt idx="883">
                  <c:v>3</c:v>
                </c:pt>
                <c:pt idx="884">
                  <c:v>4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4</c:v>
                </c:pt>
                <c:pt idx="892">
                  <c:v>0</c:v>
                </c:pt>
                <c:pt idx="893">
                  <c:v>2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2</c:v>
                </c:pt>
                <c:pt idx="906">
                  <c:v>3</c:v>
                </c:pt>
                <c:pt idx="907">
                  <c:v>1</c:v>
                </c:pt>
                <c:pt idx="908">
                  <c:v>3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3</c:v>
                </c:pt>
                <c:pt idx="913">
                  <c:v>1</c:v>
                </c:pt>
                <c:pt idx="914">
                  <c:v>2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2</c:v>
                </c:pt>
                <c:pt idx="926">
                  <c:v>2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5</c:v>
                </c:pt>
                <c:pt idx="933">
                  <c:v>0</c:v>
                </c:pt>
                <c:pt idx="934">
                  <c:v>2</c:v>
                </c:pt>
                <c:pt idx="935">
                  <c:v>0</c:v>
                </c:pt>
                <c:pt idx="936">
                  <c:v>2</c:v>
                </c:pt>
                <c:pt idx="937">
                  <c:v>5</c:v>
                </c:pt>
                <c:pt idx="938">
                  <c:v>2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2</c:v>
                </c:pt>
                <c:pt idx="947">
                  <c:v>1</c:v>
                </c:pt>
                <c:pt idx="948">
                  <c:v>0</c:v>
                </c:pt>
                <c:pt idx="949">
                  <c:v>3</c:v>
                </c:pt>
                <c:pt idx="950">
                  <c:v>0</c:v>
                </c:pt>
                <c:pt idx="951">
                  <c:v>2</c:v>
                </c:pt>
                <c:pt idx="952">
                  <c:v>1</c:v>
                </c:pt>
                <c:pt idx="953">
                  <c:v>2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1</c:v>
                </c:pt>
                <c:pt idx="963">
                  <c:v>3</c:v>
                </c:pt>
                <c:pt idx="964">
                  <c:v>2</c:v>
                </c:pt>
                <c:pt idx="965">
                  <c:v>1</c:v>
                </c:pt>
                <c:pt idx="966">
                  <c:v>2</c:v>
                </c:pt>
                <c:pt idx="967">
                  <c:v>1</c:v>
                </c:pt>
                <c:pt idx="968">
                  <c:v>2</c:v>
                </c:pt>
                <c:pt idx="969">
                  <c:v>5</c:v>
                </c:pt>
                <c:pt idx="970">
                  <c:v>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3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3</c:v>
                </c:pt>
                <c:pt idx="983">
                  <c:v>1</c:v>
                </c:pt>
                <c:pt idx="984">
                  <c:v>5</c:v>
                </c:pt>
                <c:pt idx="985">
                  <c:v>1</c:v>
                </c:pt>
                <c:pt idx="986">
                  <c:v>3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2</c:v>
                </c:pt>
                <c:pt idx="992">
                  <c:v>2</c:v>
                </c:pt>
                <c:pt idx="993">
                  <c:v>1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0</c:v>
                </c:pt>
                <c:pt idx="998">
                  <c:v>3</c:v>
                </c:pt>
                <c:pt idx="999">
                  <c:v>0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</c:v>
                </c:pt>
                <c:pt idx="1005">
                  <c:v>2</c:v>
                </c:pt>
                <c:pt idx="1006">
                  <c:v>2</c:v>
                </c:pt>
                <c:pt idx="1007">
                  <c:v>3</c:v>
                </c:pt>
                <c:pt idx="1008">
                  <c:v>2</c:v>
                </c:pt>
                <c:pt idx="1009">
                  <c:v>1</c:v>
                </c:pt>
                <c:pt idx="1010">
                  <c:v>0</c:v>
                </c:pt>
                <c:pt idx="1011">
                  <c:v>2</c:v>
                </c:pt>
                <c:pt idx="1012">
                  <c:v>4</c:v>
                </c:pt>
                <c:pt idx="1013">
                  <c:v>1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2</c:v>
                </c:pt>
                <c:pt idx="1018">
                  <c:v>3</c:v>
                </c:pt>
                <c:pt idx="1019">
                  <c:v>2</c:v>
                </c:pt>
                <c:pt idx="1020">
                  <c:v>0</c:v>
                </c:pt>
                <c:pt idx="1021">
                  <c:v>3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0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2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3</c:v>
                </c:pt>
                <c:pt idx="1036">
                  <c:v>2</c:v>
                </c:pt>
                <c:pt idx="1037">
                  <c:v>1</c:v>
                </c:pt>
                <c:pt idx="1038">
                  <c:v>0</c:v>
                </c:pt>
                <c:pt idx="1039">
                  <c:v>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2</c:v>
                </c:pt>
                <c:pt idx="1046">
                  <c:v>0</c:v>
                </c:pt>
                <c:pt idx="1047">
                  <c:v>1</c:v>
                </c:pt>
                <c:pt idx="1048">
                  <c:v>1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1</c:v>
                </c:pt>
                <c:pt idx="1053">
                  <c:v>3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1</c:v>
                </c:pt>
                <c:pt idx="1063">
                  <c:v>3</c:v>
                </c:pt>
                <c:pt idx="1064">
                  <c:v>4</c:v>
                </c:pt>
                <c:pt idx="1065">
                  <c:v>1</c:v>
                </c:pt>
                <c:pt idx="1066">
                  <c:v>2</c:v>
                </c:pt>
                <c:pt idx="1067">
                  <c:v>0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1</c:v>
                </c:pt>
                <c:pt idx="1077">
                  <c:v>0</c:v>
                </c:pt>
                <c:pt idx="1078">
                  <c:v>0</c:v>
                </c:pt>
                <c:pt idx="1079">
                  <c:v>3</c:v>
                </c:pt>
                <c:pt idx="1080">
                  <c:v>2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2</c:v>
                </c:pt>
                <c:pt idx="1085">
                  <c:v>5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3</c:v>
                </c:pt>
                <c:pt idx="1093">
                  <c:v>0</c:v>
                </c:pt>
                <c:pt idx="1094">
                  <c:v>4</c:v>
                </c:pt>
                <c:pt idx="1095">
                  <c:v>4</c:v>
                </c:pt>
                <c:pt idx="1096">
                  <c:v>2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2</c:v>
                </c:pt>
                <c:pt idx="1101">
                  <c:v>3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2</c:v>
                </c:pt>
                <c:pt idx="1108">
                  <c:v>1</c:v>
                </c:pt>
                <c:pt idx="1109">
                  <c:v>3</c:v>
                </c:pt>
                <c:pt idx="1110">
                  <c:v>1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0</c:v>
                </c:pt>
                <c:pt idx="1115">
                  <c:v>1</c:v>
                </c:pt>
                <c:pt idx="1116">
                  <c:v>5</c:v>
                </c:pt>
                <c:pt idx="1117">
                  <c:v>2</c:v>
                </c:pt>
                <c:pt idx="1118">
                  <c:v>1</c:v>
                </c:pt>
                <c:pt idx="1119">
                  <c:v>3</c:v>
                </c:pt>
                <c:pt idx="1120">
                  <c:v>0</c:v>
                </c:pt>
                <c:pt idx="1121">
                  <c:v>2</c:v>
                </c:pt>
                <c:pt idx="1122">
                  <c:v>3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2</c:v>
                </c:pt>
                <c:pt idx="1128">
                  <c:v>1</c:v>
                </c:pt>
                <c:pt idx="1129">
                  <c:v>0</c:v>
                </c:pt>
                <c:pt idx="1130">
                  <c:v>5</c:v>
                </c:pt>
                <c:pt idx="1131">
                  <c:v>2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1</c:v>
                </c:pt>
                <c:pt idx="1141">
                  <c:v>3</c:v>
                </c:pt>
                <c:pt idx="1142">
                  <c:v>0</c:v>
                </c:pt>
                <c:pt idx="1143">
                  <c:v>2</c:v>
                </c:pt>
                <c:pt idx="1144">
                  <c:v>2</c:v>
                </c:pt>
                <c:pt idx="1145">
                  <c:v>3</c:v>
                </c:pt>
                <c:pt idx="1146">
                  <c:v>0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3</c:v>
                </c:pt>
                <c:pt idx="1153">
                  <c:v>1</c:v>
                </c:pt>
                <c:pt idx="1154">
                  <c:v>4</c:v>
                </c:pt>
                <c:pt idx="1155">
                  <c:v>3</c:v>
                </c:pt>
                <c:pt idx="1156">
                  <c:v>0</c:v>
                </c:pt>
                <c:pt idx="1157">
                  <c:v>2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2</c:v>
                </c:pt>
                <c:pt idx="1162">
                  <c:v>1</c:v>
                </c:pt>
                <c:pt idx="1163">
                  <c:v>0</c:v>
                </c:pt>
                <c:pt idx="1164">
                  <c:v>1</c:v>
                </c:pt>
                <c:pt idx="1165">
                  <c:v>0</c:v>
                </c:pt>
                <c:pt idx="1166">
                  <c:v>0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1</c:v>
                </c:pt>
                <c:pt idx="1171">
                  <c:v>2</c:v>
                </c:pt>
                <c:pt idx="1172">
                  <c:v>0</c:v>
                </c:pt>
                <c:pt idx="1173">
                  <c:v>2</c:v>
                </c:pt>
                <c:pt idx="1174">
                  <c:v>2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1</c:v>
                </c:pt>
                <c:pt idx="1185">
                  <c:v>2</c:v>
                </c:pt>
                <c:pt idx="1186">
                  <c:v>3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2</c:v>
                </c:pt>
                <c:pt idx="1191">
                  <c:v>1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3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0</c:v>
                </c:pt>
                <c:pt idx="1203">
                  <c:v>1</c:v>
                </c:pt>
                <c:pt idx="1204">
                  <c:v>3</c:v>
                </c:pt>
                <c:pt idx="1205">
                  <c:v>1</c:v>
                </c:pt>
                <c:pt idx="1206">
                  <c:v>2</c:v>
                </c:pt>
                <c:pt idx="1207">
                  <c:v>2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2</c:v>
                </c:pt>
                <c:pt idx="1212">
                  <c:v>0</c:v>
                </c:pt>
                <c:pt idx="1213">
                  <c:v>2</c:v>
                </c:pt>
                <c:pt idx="1214">
                  <c:v>1</c:v>
                </c:pt>
                <c:pt idx="1215">
                  <c:v>0</c:v>
                </c:pt>
                <c:pt idx="1216">
                  <c:v>0</c:v>
                </c:pt>
                <c:pt idx="1217">
                  <c:v>2</c:v>
                </c:pt>
                <c:pt idx="1218">
                  <c:v>1</c:v>
                </c:pt>
                <c:pt idx="1219">
                  <c:v>3</c:v>
                </c:pt>
                <c:pt idx="1220">
                  <c:v>1</c:v>
                </c:pt>
                <c:pt idx="1221">
                  <c:v>2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2</c:v>
                </c:pt>
                <c:pt idx="1227">
                  <c:v>2</c:v>
                </c:pt>
                <c:pt idx="1228">
                  <c:v>0</c:v>
                </c:pt>
                <c:pt idx="1229">
                  <c:v>0</c:v>
                </c:pt>
                <c:pt idx="1230">
                  <c:v>3</c:v>
                </c:pt>
                <c:pt idx="1231">
                  <c:v>0</c:v>
                </c:pt>
                <c:pt idx="1232">
                  <c:v>3</c:v>
                </c:pt>
                <c:pt idx="1233">
                  <c:v>0</c:v>
                </c:pt>
                <c:pt idx="1234">
                  <c:v>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3</c:v>
                </c:pt>
                <c:pt idx="1239">
                  <c:v>1</c:v>
                </c:pt>
                <c:pt idx="1240">
                  <c:v>2</c:v>
                </c:pt>
                <c:pt idx="1241">
                  <c:v>2</c:v>
                </c:pt>
                <c:pt idx="1242">
                  <c:v>3</c:v>
                </c:pt>
                <c:pt idx="1243">
                  <c:v>0</c:v>
                </c:pt>
                <c:pt idx="1244">
                  <c:v>0</c:v>
                </c:pt>
                <c:pt idx="1245">
                  <c:v>5</c:v>
                </c:pt>
                <c:pt idx="1246">
                  <c:v>3</c:v>
                </c:pt>
                <c:pt idx="1247">
                  <c:v>4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4</c:v>
                </c:pt>
                <c:pt idx="1254">
                  <c:v>0</c:v>
                </c:pt>
                <c:pt idx="1255">
                  <c:v>0</c:v>
                </c:pt>
                <c:pt idx="1256">
                  <c:v>3</c:v>
                </c:pt>
                <c:pt idx="1257">
                  <c:v>1</c:v>
                </c:pt>
                <c:pt idx="1258">
                  <c:v>3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2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</c:v>
                </c:pt>
                <c:pt idx="1270">
                  <c:v>1</c:v>
                </c:pt>
                <c:pt idx="1271">
                  <c:v>0</c:v>
                </c:pt>
                <c:pt idx="1272">
                  <c:v>5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2</c:v>
                </c:pt>
                <c:pt idx="1280">
                  <c:v>0</c:v>
                </c:pt>
                <c:pt idx="1281">
                  <c:v>2</c:v>
                </c:pt>
                <c:pt idx="1282">
                  <c:v>0</c:v>
                </c:pt>
                <c:pt idx="1283">
                  <c:v>1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2</c:v>
                </c:pt>
                <c:pt idx="1289">
                  <c:v>1</c:v>
                </c:pt>
                <c:pt idx="1290">
                  <c:v>2</c:v>
                </c:pt>
                <c:pt idx="1291">
                  <c:v>0</c:v>
                </c:pt>
                <c:pt idx="1292">
                  <c:v>0</c:v>
                </c:pt>
                <c:pt idx="1293">
                  <c:v>3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2</c:v>
                </c:pt>
                <c:pt idx="1298">
                  <c:v>2</c:v>
                </c:pt>
                <c:pt idx="1299">
                  <c:v>1</c:v>
                </c:pt>
                <c:pt idx="1300">
                  <c:v>0</c:v>
                </c:pt>
                <c:pt idx="1301">
                  <c:v>3</c:v>
                </c:pt>
                <c:pt idx="1302">
                  <c:v>1</c:v>
                </c:pt>
                <c:pt idx="1303">
                  <c:v>0</c:v>
                </c:pt>
                <c:pt idx="1304">
                  <c:v>2</c:v>
                </c:pt>
                <c:pt idx="1305">
                  <c:v>0</c:v>
                </c:pt>
                <c:pt idx="1306">
                  <c:v>0</c:v>
                </c:pt>
                <c:pt idx="1307">
                  <c:v>4</c:v>
                </c:pt>
                <c:pt idx="1308">
                  <c:v>0</c:v>
                </c:pt>
                <c:pt idx="1309">
                  <c:v>2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3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4</c:v>
                </c:pt>
                <c:pt idx="1319">
                  <c:v>2</c:v>
                </c:pt>
                <c:pt idx="1320">
                  <c:v>3</c:v>
                </c:pt>
                <c:pt idx="1321">
                  <c:v>0</c:v>
                </c:pt>
                <c:pt idx="1322">
                  <c:v>0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0</c:v>
                </c:pt>
                <c:pt idx="1332">
                  <c:v>3</c:v>
                </c:pt>
                <c:pt idx="1333">
                  <c:v>3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</c:numCache>
            </c:numRef>
          </c:xVal>
          <c:yVal>
            <c:numRef>
              <c:f>insurance!$C$2:$C$1339</c:f>
              <c:numCache>
                <c:formatCode>General</c:formatCode>
                <c:ptCount val="1338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  <c:pt idx="937">
                  <c:v>24.225000000000001</c:v>
                </c:pt>
                <c:pt idx="938">
                  <c:v>26.18</c:v>
                </c:pt>
                <c:pt idx="939">
                  <c:v>29.48</c:v>
                </c:pt>
                <c:pt idx="940">
                  <c:v>23.21</c:v>
                </c:pt>
                <c:pt idx="941">
                  <c:v>46.09</c:v>
                </c:pt>
                <c:pt idx="942">
                  <c:v>40.185000000000002</c:v>
                </c:pt>
                <c:pt idx="943">
                  <c:v>22.61</c:v>
                </c:pt>
                <c:pt idx="944">
                  <c:v>39.93</c:v>
                </c:pt>
                <c:pt idx="945">
                  <c:v>35.799999999999997</c:v>
                </c:pt>
                <c:pt idx="946">
                  <c:v>35.799999999999997</c:v>
                </c:pt>
                <c:pt idx="947">
                  <c:v>34.200000000000003</c:v>
                </c:pt>
                <c:pt idx="948">
                  <c:v>31.254999999999999</c:v>
                </c:pt>
                <c:pt idx="949">
                  <c:v>29.7</c:v>
                </c:pt>
                <c:pt idx="950">
                  <c:v>18.335000000000001</c:v>
                </c:pt>
                <c:pt idx="951">
                  <c:v>42.9</c:v>
                </c:pt>
                <c:pt idx="952">
                  <c:v>28.405000000000001</c:v>
                </c:pt>
                <c:pt idx="953">
                  <c:v>30.2</c:v>
                </c:pt>
                <c:pt idx="954">
                  <c:v>27.835000000000001</c:v>
                </c:pt>
                <c:pt idx="955">
                  <c:v>39.49</c:v>
                </c:pt>
                <c:pt idx="956">
                  <c:v>30.8</c:v>
                </c:pt>
                <c:pt idx="957">
                  <c:v>26.79</c:v>
                </c:pt>
                <c:pt idx="958">
                  <c:v>34.96</c:v>
                </c:pt>
                <c:pt idx="959">
                  <c:v>36.67</c:v>
                </c:pt>
                <c:pt idx="960">
                  <c:v>39.615000000000002</c:v>
                </c:pt>
                <c:pt idx="961">
                  <c:v>25.9</c:v>
                </c:pt>
                <c:pt idx="962">
                  <c:v>35.200000000000003</c:v>
                </c:pt>
                <c:pt idx="963">
                  <c:v>24.795000000000002</c:v>
                </c:pt>
                <c:pt idx="964">
                  <c:v>36.765000000000001</c:v>
                </c:pt>
                <c:pt idx="965">
                  <c:v>27.1</c:v>
                </c:pt>
                <c:pt idx="966">
                  <c:v>24.795000000000002</c:v>
                </c:pt>
                <c:pt idx="967">
                  <c:v>25.364999999999998</c:v>
                </c:pt>
                <c:pt idx="968">
                  <c:v>25.745000000000001</c:v>
                </c:pt>
                <c:pt idx="969">
                  <c:v>34.32</c:v>
                </c:pt>
                <c:pt idx="970">
                  <c:v>28.16</c:v>
                </c:pt>
                <c:pt idx="971">
                  <c:v>23.56</c:v>
                </c:pt>
                <c:pt idx="972">
                  <c:v>20.234999999999999</c:v>
                </c:pt>
                <c:pt idx="973">
                  <c:v>40.5</c:v>
                </c:pt>
                <c:pt idx="974">
                  <c:v>35.42</c:v>
                </c:pt>
                <c:pt idx="975">
                  <c:v>22.895</c:v>
                </c:pt>
                <c:pt idx="976">
                  <c:v>40.15</c:v>
                </c:pt>
                <c:pt idx="977">
                  <c:v>29.15</c:v>
                </c:pt>
                <c:pt idx="978">
                  <c:v>39.994999999999997</c:v>
                </c:pt>
                <c:pt idx="979">
                  <c:v>29.92</c:v>
                </c:pt>
                <c:pt idx="980">
                  <c:v>25.46</c:v>
                </c:pt>
                <c:pt idx="981">
                  <c:v>21.375</c:v>
                </c:pt>
                <c:pt idx="982">
                  <c:v>25.9</c:v>
                </c:pt>
                <c:pt idx="983">
                  <c:v>30.59</c:v>
                </c:pt>
                <c:pt idx="984">
                  <c:v>30.114999999999998</c:v>
                </c:pt>
                <c:pt idx="985">
                  <c:v>25.8</c:v>
                </c:pt>
                <c:pt idx="986">
                  <c:v>30.114999999999998</c:v>
                </c:pt>
                <c:pt idx="987">
                  <c:v>27.645</c:v>
                </c:pt>
                <c:pt idx="988">
                  <c:v>34.674999999999997</c:v>
                </c:pt>
                <c:pt idx="989">
                  <c:v>20.52</c:v>
                </c:pt>
                <c:pt idx="990">
                  <c:v>19.8</c:v>
                </c:pt>
                <c:pt idx="991">
                  <c:v>27.835000000000001</c:v>
                </c:pt>
                <c:pt idx="992">
                  <c:v>31.6</c:v>
                </c:pt>
                <c:pt idx="993">
                  <c:v>28.27</c:v>
                </c:pt>
                <c:pt idx="994">
                  <c:v>20.045000000000002</c:v>
                </c:pt>
                <c:pt idx="995">
                  <c:v>23.274999999999999</c:v>
                </c:pt>
                <c:pt idx="996">
                  <c:v>34.1</c:v>
                </c:pt>
                <c:pt idx="997">
                  <c:v>36.85</c:v>
                </c:pt>
                <c:pt idx="998">
                  <c:v>36.29</c:v>
                </c:pt>
                <c:pt idx="999">
                  <c:v>26.885000000000002</c:v>
                </c:pt>
                <c:pt idx="1000">
                  <c:v>22.99</c:v>
                </c:pt>
                <c:pt idx="1001">
                  <c:v>32.700000000000003</c:v>
                </c:pt>
                <c:pt idx="1002">
                  <c:v>25.8</c:v>
                </c:pt>
                <c:pt idx="1003">
                  <c:v>29.6</c:v>
                </c:pt>
                <c:pt idx="1004">
                  <c:v>19.190000000000001</c:v>
                </c:pt>
                <c:pt idx="1005">
                  <c:v>31.73</c:v>
                </c:pt>
                <c:pt idx="1006">
                  <c:v>29.26</c:v>
                </c:pt>
                <c:pt idx="1007">
                  <c:v>28.215</c:v>
                </c:pt>
                <c:pt idx="1008">
                  <c:v>24.984999999999999</c:v>
                </c:pt>
                <c:pt idx="1009">
                  <c:v>27.74</c:v>
                </c:pt>
                <c:pt idx="1010">
                  <c:v>22.8</c:v>
                </c:pt>
                <c:pt idx="1011">
                  <c:v>20.13</c:v>
                </c:pt>
                <c:pt idx="1012">
                  <c:v>33.33</c:v>
                </c:pt>
                <c:pt idx="1013">
                  <c:v>32.299999999999997</c:v>
                </c:pt>
                <c:pt idx="1014">
                  <c:v>27.6</c:v>
                </c:pt>
                <c:pt idx="1015">
                  <c:v>25.46</c:v>
                </c:pt>
                <c:pt idx="1016">
                  <c:v>24.605</c:v>
                </c:pt>
                <c:pt idx="1017">
                  <c:v>34.200000000000003</c:v>
                </c:pt>
                <c:pt idx="1018">
                  <c:v>35.814999999999998</c:v>
                </c:pt>
                <c:pt idx="1019">
                  <c:v>32.68</c:v>
                </c:pt>
                <c:pt idx="1020">
                  <c:v>37</c:v>
                </c:pt>
                <c:pt idx="1021">
                  <c:v>31.02</c:v>
                </c:pt>
                <c:pt idx="1022">
                  <c:v>36.08</c:v>
                </c:pt>
                <c:pt idx="1023">
                  <c:v>23.32</c:v>
                </c:pt>
                <c:pt idx="1024">
                  <c:v>45.32</c:v>
                </c:pt>
                <c:pt idx="1025">
                  <c:v>34.6</c:v>
                </c:pt>
                <c:pt idx="1026">
                  <c:v>26.03</c:v>
                </c:pt>
                <c:pt idx="1027">
                  <c:v>18.715</c:v>
                </c:pt>
                <c:pt idx="1028">
                  <c:v>31.6</c:v>
                </c:pt>
                <c:pt idx="1029">
                  <c:v>17.29</c:v>
                </c:pt>
                <c:pt idx="1030">
                  <c:v>23.655000000000001</c:v>
                </c:pt>
                <c:pt idx="1031">
                  <c:v>35.200000000000003</c:v>
                </c:pt>
                <c:pt idx="1032">
                  <c:v>27.93</c:v>
                </c:pt>
                <c:pt idx="1033">
                  <c:v>21.565000000000001</c:v>
                </c:pt>
                <c:pt idx="1034">
                  <c:v>38.380000000000003</c:v>
                </c:pt>
                <c:pt idx="1035">
                  <c:v>23</c:v>
                </c:pt>
                <c:pt idx="1036">
                  <c:v>37.07</c:v>
                </c:pt>
                <c:pt idx="1037">
                  <c:v>30.495000000000001</c:v>
                </c:pt>
                <c:pt idx="1038">
                  <c:v>28.88</c:v>
                </c:pt>
                <c:pt idx="1039">
                  <c:v>27.265000000000001</c:v>
                </c:pt>
                <c:pt idx="1040">
                  <c:v>28.024999999999999</c:v>
                </c:pt>
                <c:pt idx="1041">
                  <c:v>23.085000000000001</c:v>
                </c:pt>
                <c:pt idx="1042">
                  <c:v>30.684999999999999</c:v>
                </c:pt>
                <c:pt idx="1043">
                  <c:v>25.8</c:v>
                </c:pt>
                <c:pt idx="1044">
                  <c:v>35.244999999999997</c:v>
                </c:pt>
                <c:pt idx="1045">
                  <c:v>24.7</c:v>
                </c:pt>
                <c:pt idx="1046">
                  <c:v>25.08</c:v>
                </c:pt>
                <c:pt idx="1047">
                  <c:v>52.58</c:v>
                </c:pt>
                <c:pt idx="1048">
                  <c:v>22.515000000000001</c:v>
                </c:pt>
                <c:pt idx="1049">
                  <c:v>30.9</c:v>
                </c:pt>
                <c:pt idx="1050">
                  <c:v>36.954999999999998</c:v>
                </c:pt>
                <c:pt idx="1051">
                  <c:v>26.41</c:v>
                </c:pt>
                <c:pt idx="1052">
                  <c:v>29.83</c:v>
                </c:pt>
                <c:pt idx="1053">
                  <c:v>29.8</c:v>
                </c:pt>
                <c:pt idx="1054">
                  <c:v>21.47</c:v>
                </c:pt>
                <c:pt idx="1055">
                  <c:v>27.645</c:v>
                </c:pt>
                <c:pt idx="1056">
                  <c:v>28.9</c:v>
                </c:pt>
                <c:pt idx="1057">
                  <c:v>31.79</c:v>
                </c:pt>
                <c:pt idx="1058">
                  <c:v>39.49</c:v>
                </c:pt>
                <c:pt idx="1059">
                  <c:v>33.82</c:v>
                </c:pt>
                <c:pt idx="1060">
                  <c:v>32.01</c:v>
                </c:pt>
                <c:pt idx="1061">
                  <c:v>27.94</c:v>
                </c:pt>
                <c:pt idx="1062">
                  <c:v>41.14</c:v>
                </c:pt>
                <c:pt idx="1063">
                  <c:v>28.594999999999999</c:v>
                </c:pt>
                <c:pt idx="1064">
                  <c:v>25.6</c:v>
                </c:pt>
                <c:pt idx="1065">
                  <c:v>25.3</c:v>
                </c:pt>
                <c:pt idx="1066">
                  <c:v>37.29</c:v>
                </c:pt>
                <c:pt idx="1067">
                  <c:v>42.655000000000001</c:v>
                </c:pt>
                <c:pt idx="1068">
                  <c:v>21.66</c:v>
                </c:pt>
                <c:pt idx="1069">
                  <c:v>31.9</c:v>
                </c:pt>
                <c:pt idx="1070">
                  <c:v>37.07</c:v>
                </c:pt>
                <c:pt idx="1071">
                  <c:v>31.445</c:v>
                </c:pt>
                <c:pt idx="1072">
                  <c:v>31.254999999999999</c:v>
                </c:pt>
                <c:pt idx="1073">
                  <c:v>28.88</c:v>
                </c:pt>
                <c:pt idx="1074">
                  <c:v>18.335000000000001</c:v>
                </c:pt>
                <c:pt idx="1075">
                  <c:v>29.59</c:v>
                </c:pt>
                <c:pt idx="1076">
                  <c:v>32</c:v>
                </c:pt>
                <c:pt idx="1077">
                  <c:v>26.03</c:v>
                </c:pt>
                <c:pt idx="1078">
                  <c:v>31.68</c:v>
                </c:pt>
                <c:pt idx="1079">
                  <c:v>33.659999999999997</c:v>
                </c:pt>
                <c:pt idx="1080">
                  <c:v>21.78</c:v>
                </c:pt>
                <c:pt idx="1081">
                  <c:v>27.835000000000001</c:v>
                </c:pt>
                <c:pt idx="1082">
                  <c:v>19.95</c:v>
                </c:pt>
                <c:pt idx="1083">
                  <c:v>31.5</c:v>
                </c:pt>
                <c:pt idx="1084">
                  <c:v>30.495000000000001</c:v>
                </c:pt>
                <c:pt idx="1085">
                  <c:v>18.3</c:v>
                </c:pt>
                <c:pt idx="1086">
                  <c:v>28.975000000000001</c:v>
                </c:pt>
                <c:pt idx="1087">
                  <c:v>31.54</c:v>
                </c:pt>
                <c:pt idx="1088">
                  <c:v>47.74</c:v>
                </c:pt>
                <c:pt idx="1089">
                  <c:v>22.1</c:v>
                </c:pt>
                <c:pt idx="1090">
                  <c:v>36.19</c:v>
                </c:pt>
                <c:pt idx="1091">
                  <c:v>29.83</c:v>
                </c:pt>
                <c:pt idx="1092">
                  <c:v>32.700000000000003</c:v>
                </c:pt>
                <c:pt idx="1093">
                  <c:v>30.4</c:v>
                </c:pt>
                <c:pt idx="1094">
                  <c:v>33.700000000000003</c:v>
                </c:pt>
                <c:pt idx="1095">
                  <c:v>31.35</c:v>
                </c:pt>
                <c:pt idx="1096">
                  <c:v>34.96</c:v>
                </c:pt>
                <c:pt idx="1097">
                  <c:v>33.770000000000003</c:v>
                </c:pt>
                <c:pt idx="1098">
                  <c:v>30.875</c:v>
                </c:pt>
                <c:pt idx="1099">
                  <c:v>33.99</c:v>
                </c:pt>
                <c:pt idx="1100">
                  <c:v>19.094999999999999</c:v>
                </c:pt>
                <c:pt idx="1101">
                  <c:v>28.6</c:v>
                </c:pt>
                <c:pt idx="1102">
                  <c:v>38.94</c:v>
                </c:pt>
                <c:pt idx="1103">
                  <c:v>36.08</c:v>
                </c:pt>
                <c:pt idx="1104">
                  <c:v>29.8</c:v>
                </c:pt>
                <c:pt idx="1105">
                  <c:v>31.24</c:v>
                </c:pt>
                <c:pt idx="1106">
                  <c:v>29.925000000000001</c:v>
                </c:pt>
                <c:pt idx="1107">
                  <c:v>26.22</c:v>
                </c:pt>
                <c:pt idx="1108">
                  <c:v>30</c:v>
                </c:pt>
                <c:pt idx="1109">
                  <c:v>20.350000000000001</c:v>
                </c:pt>
                <c:pt idx="1110">
                  <c:v>32.299999999999997</c:v>
                </c:pt>
                <c:pt idx="1111">
                  <c:v>38.39</c:v>
                </c:pt>
                <c:pt idx="1112">
                  <c:v>25.85</c:v>
                </c:pt>
                <c:pt idx="1113">
                  <c:v>26.315000000000001</c:v>
                </c:pt>
                <c:pt idx="1114">
                  <c:v>24.51</c:v>
                </c:pt>
                <c:pt idx="1115">
                  <c:v>32.67</c:v>
                </c:pt>
                <c:pt idx="1116">
                  <c:v>29.64</c:v>
                </c:pt>
                <c:pt idx="1117">
                  <c:v>33.33</c:v>
                </c:pt>
                <c:pt idx="1118">
                  <c:v>35.75</c:v>
                </c:pt>
                <c:pt idx="1119">
                  <c:v>19.95</c:v>
                </c:pt>
                <c:pt idx="1120">
                  <c:v>31.4</c:v>
                </c:pt>
                <c:pt idx="1121">
                  <c:v>38.17</c:v>
                </c:pt>
                <c:pt idx="1122">
                  <c:v>36.86</c:v>
                </c:pt>
                <c:pt idx="1123">
                  <c:v>32.395000000000003</c:v>
                </c:pt>
                <c:pt idx="1124">
                  <c:v>42.75</c:v>
                </c:pt>
                <c:pt idx="1125">
                  <c:v>25.08</c:v>
                </c:pt>
                <c:pt idx="1126">
                  <c:v>29.9</c:v>
                </c:pt>
                <c:pt idx="1127">
                  <c:v>35.86</c:v>
                </c:pt>
                <c:pt idx="1128">
                  <c:v>32.799999999999997</c:v>
                </c:pt>
                <c:pt idx="1129">
                  <c:v>18.600000000000001</c:v>
                </c:pt>
                <c:pt idx="1130">
                  <c:v>23.87</c:v>
                </c:pt>
                <c:pt idx="1131">
                  <c:v>45.9</c:v>
                </c:pt>
                <c:pt idx="1132">
                  <c:v>40.28</c:v>
                </c:pt>
                <c:pt idx="1133">
                  <c:v>18.335000000000001</c:v>
                </c:pt>
                <c:pt idx="1134">
                  <c:v>33.82</c:v>
                </c:pt>
                <c:pt idx="1135">
                  <c:v>28.12</c:v>
                </c:pt>
                <c:pt idx="1136">
                  <c:v>25</c:v>
                </c:pt>
                <c:pt idx="1137">
                  <c:v>22.23</c:v>
                </c:pt>
                <c:pt idx="1138">
                  <c:v>30.25</c:v>
                </c:pt>
                <c:pt idx="1139">
                  <c:v>32.49</c:v>
                </c:pt>
                <c:pt idx="1140">
                  <c:v>37.07</c:v>
                </c:pt>
                <c:pt idx="1141">
                  <c:v>32.6</c:v>
                </c:pt>
                <c:pt idx="1142">
                  <c:v>24.86</c:v>
                </c:pt>
                <c:pt idx="1143">
                  <c:v>32.340000000000003</c:v>
                </c:pt>
                <c:pt idx="1144">
                  <c:v>32.299999999999997</c:v>
                </c:pt>
                <c:pt idx="1145">
                  <c:v>32.774999999999999</c:v>
                </c:pt>
                <c:pt idx="1146">
                  <c:v>32.799999999999997</c:v>
                </c:pt>
                <c:pt idx="1147">
                  <c:v>31.92</c:v>
                </c:pt>
                <c:pt idx="1148">
                  <c:v>21.5</c:v>
                </c:pt>
                <c:pt idx="1149">
                  <c:v>34.1</c:v>
                </c:pt>
                <c:pt idx="1150">
                  <c:v>30.305</c:v>
                </c:pt>
                <c:pt idx="1151">
                  <c:v>36.479999999999997</c:v>
                </c:pt>
                <c:pt idx="1152">
                  <c:v>32.56</c:v>
                </c:pt>
                <c:pt idx="1153">
                  <c:v>35.814999999999998</c:v>
                </c:pt>
                <c:pt idx="1154">
                  <c:v>27.93</c:v>
                </c:pt>
                <c:pt idx="1155">
                  <c:v>22.135000000000002</c:v>
                </c:pt>
                <c:pt idx="1156">
                  <c:v>44.88</c:v>
                </c:pt>
                <c:pt idx="1157">
                  <c:v>23.18</c:v>
                </c:pt>
                <c:pt idx="1158">
                  <c:v>30.59</c:v>
                </c:pt>
                <c:pt idx="1159">
                  <c:v>41.1</c:v>
                </c:pt>
                <c:pt idx="1160">
                  <c:v>34.58</c:v>
                </c:pt>
                <c:pt idx="1161">
                  <c:v>42.13</c:v>
                </c:pt>
                <c:pt idx="1162">
                  <c:v>38.83</c:v>
                </c:pt>
                <c:pt idx="1163">
                  <c:v>28.215</c:v>
                </c:pt>
                <c:pt idx="1164">
                  <c:v>28.31</c:v>
                </c:pt>
                <c:pt idx="1165">
                  <c:v>26.125</c:v>
                </c:pt>
                <c:pt idx="1166">
                  <c:v>40.369999999999997</c:v>
                </c:pt>
                <c:pt idx="1167">
                  <c:v>24.6</c:v>
                </c:pt>
                <c:pt idx="1168">
                  <c:v>35.200000000000003</c:v>
                </c:pt>
                <c:pt idx="1169">
                  <c:v>34.104999999999997</c:v>
                </c:pt>
                <c:pt idx="1170">
                  <c:v>27.36</c:v>
                </c:pt>
                <c:pt idx="1171">
                  <c:v>26.7</c:v>
                </c:pt>
                <c:pt idx="1172">
                  <c:v>41.91</c:v>
                </c:pt>
                <c:pt idx="1173">
                  <c:v>29.26</c:v>
                </c:pt>
                <c:pt idx="1174">
                  <c:v>32.11</c:v>
                </c:pt>
                <c:pt idx="1175">
                  <c:v>27.1</c:v>
                </c:pt>
                <c:pt idx="1176">
                  <c:v>24.13</c:v>
                </c:pt>
                <c:pt idx="1177">
                  <c:v>27.4</c:v>
                </c:pt>
                <c:pt idx="1178">
                  <c:v>34.865000000000002</c:v>
                </c:pt>
                <c:pt idx="1179">
                  <c:v>29.81</c:v>
                </c:pt>
                <c:pt idx="1180">
                  <c:v>41.325000000000003</c:v>
                </c:pt>
                <c:pt idx="1181">
                  <c:v>29.925000000000001</c:v>
                </c:pt>
                <c:pt idx="1182">
                  <c:v>30.3</c:v>
                </c:pt>
                <c:pt idx="1183">
                  <c:v>27.36</c:v>
                </c:pt>
                <c:pt idx="1184">
                  <c:v>28.49</c:v>
                </c:pt>
                <c:pt idx="1185">
                  <c:v>23.56</c:v>
                </c:pt>
                <c:pt idx="1186">
                  <c:v>35.625</c:v>
                </c:pt>
                <c:pt idx="1187">
                  <c:v>32.68</c:v>
                </c:pt>
                <c:pt idx="1188">
                  <c:v>25.27</c:v>
                </c:pt>
                <c:pt idx="1189">
                  <c:v>28</c:v>
                </c:pt>
                <c:pt idx="1190">
                  <c:v>32.774999999999999</c:v>
                </c:pt>
                <c:pt idx="1191">
                  <c:v>21.754999999999999</c:v>
                </c:pt>
                <c:pt idx="1192">
                  <c:v>32.395000000000003</c:v>
                </c:pt>
                <c:pt idx="1193">
                  <c:v>36.575000000000003</c:v>
                </c:pt>
                <c:pt idx="1194">
                  <c:v>21.754999999999999</c:v>
                </c:pt>
                <c:pt idx="1195">
                  <c:v>27.93</c:v>
                </c:pt>
                <c:pt idx="1196">
                  <c:v>30.02</c:v>
                </c:pt>
                <c:pt idx="1197">
                  <c:v>33.549999999999997</c:v>
                </c:pt>
                <c:pt idx="1198">
                  <c:v>29.355</c:v>
                </c:pt>
                <c:pt idx="1199">
                  <c:v>25.8</c:v>
                </c:pt>
                <c:pt idx="1200">
                  <c:v>24.32</c:v>
                </c:pt>
                <c:pt idx="1201">
                  <c:v>40.375</c:v>
                </c:pt>
                <c:pt idx="1202">
                  <c:v>32.11</c:v>
                </c:pt>
                <c:pt idx="1203">
                  <c:v>32.299999999999997</c:v>
                </c:pt>
                <c:pt idx="1204">
                  <c:v>27.28</c:v>
                </c:pt>
                <c:pt idx="1205">
                  <c:v>17.86</c:v>
                </c:pt>
                <c:pt idx="1206">
                  <c:v>34.799999999999997</c:v>
                </c:pt>
                <c:pt idx="1207">
                  <c:v>33.4</c:v>
                </c:pt>
                <c:pt idx="1208">
                  <c:v>25.555</c:v>
                </c:pt>
                <c:pt idx="1209">
                  <c:v>37.1</c:v>
                </c:pt>
                <c:pt idx="1210">
                  <c:v>30.875</c:v>
                </c:pt>
                <c:pt idx="1211">
                  <c:v>34.1</c:v>
                </c:pt>
                <c:pt idx="1212">
                  <c:v>21.47</c:v>
                </c:pt>
                <c:pt idx="1213">
                  <c:v>33.299999999999997</c:v>
                </c:pt>
                <c:pt idx="1214">
                  <c:v>31.254999999999999</c:v>
                </c:pt>
                <c:pt idx="1215">
                  <c:v>39.14</c:v>
                </c:pt>
                <c:pt idx="1216">
                  <c:v>25.08</c:v>
                </c:pt>
                <c:pt idx="1217">
                  <c:v>37.29</c:v>
                </c:pt>
                <c:pt idx="1218">
                  <c:v>34.6</c:v>
                </c:pt>
                <c:pt idx="1219">
                  <c:v>30.21</c:v>
                </c:pt>
                <c:pt idx="1220">
                  <c:v>21.945</c:v>
                </c:pt>
                <c:pt idx="1221">
                  <c:v>24.97</c:v>
                </c:pt>
                <c:pt idx="1222">
                  <c:v>25.3</c:v>
                </c:pt>
                <c:pt idx="1223">
                  <c:v>24.42</c:v>
                </c:pt>
                <c:pt idx="1224">
                  <c:v>23.94</c:v>
                </c:pt>
                <c:pt idx="1225">
                  <c:v>39.82</c:v>
                </c:pt>
                <c:pt idx="1226">
                  <c:v>16.815000000000001</c:v>
                </c:pt>
                <c:pt idx="1227">
                  <c:v>37.18</c:v>
                </c:pt>
                <c:pt idx="1228">
                  <c:v>34.43</c:v>
                </c:pt>
                <c:pt idx="1229">
                  <c:v>30.305</c:v>
                </c:pt>
                <c:pt idx="1230">
                  <c:v>34.484999999999999</c:v>
                </c:pt>
                <c:pt idx="1231">
                  <c:v>21.8</c:v>
                </c:pt>
                <c:pt idx="1232">
                  <c:v>24.605</c:v>
                </c:pt>
                <c:pt idx="1233">
                  <c:v>23.3</c:v>
                </c:pt>
                <c:pt idx="1234">
                  <c:v>27.83</c:v>
                </c:pt>
                <c:pt idx="1235">
                  <c:v>31.065000000000001</c:v>
                </c:pt>
                <c:pt idx="1236">
                  <c:v>21.66</c:v>
                </c:pt>
                <c:pt idx="1237">
                  <c:v>28.215</c:v>
                </c:pt>
                <c:pt idx="1238">
                  <c:v>22.704999999999998</c:v>
                </c:pt>
                <c:pt idx="1239">
                  <c:v>42.13</c:v>
                </c:pt>
                <c:pt idx="1240">
                  <c:v>41.8</c:v>
                </c:pt>
                <c:pt idx="1241">
                  <c:v>36.96</c:v>
                </c:pt>
                <c:pt idx="1242">
                  <c:v>21.28</c:v>
                </c:pt>
                <c:pt idx="1243">
                  <c:v>33.11</c:v>
                </c:pt>
                <c:pt idx="1244">
                  <c:v>33.33</c:v>
                </c:pt>
                <c:pt idx="1245">
                  <c:v>24.3</c:v>
                </c:pt>
                <c:pt idx="1246">
                  <c:v>25.7</c:v>
                </c:pt>
                <c:pt idx="1247">
                  <c:v>29.4</c:v>
                </c:pt>
                <c:pt idx="1248">
                  <c:v>39.82</c:v>
                </c:pt>
                <c:pt idx="1249">
                  <c:v>33.630000000000003</c:v>
                </c:pt>
                <c:pt idx="1250">
                  <c:v>29.83</c:v>
                </c:pt>
                <c:pt idx="1251">
                  <c:v>19.8</c:v>
                </c:pt>
                <c:pt idx="1252">
                  <c:v>27.3</c:v>
                </c:pt>
                <c:pt idx="1253">
                  <c:v>29.3</c:v>
                </c:pt>
                <c:pt idx="1254">
                  <c:v>27.72</c:v>
                </c:pt>
                <c:pt idx="1255">
                  <c:v>37.9</c:v>
                </c:pt>
                <c:pt idx="1256">
                  <c:v>36.384999999999998</c:v>
                </c:pt>
                <c:pt idx="1257">
                  <c:v>27.645</c:v>
                </c:pt>
                <c:pt idx="1258">
                  <c:v>37.715000000000003</c:v>
                </c:pt>
                <c:pt idx="1259">
                  <c:v>23.18</c:v>
                </c:pt>
                <c:pt idx="1260">
                  <c:v>20.52</c:v>
                </c:pt>
                <c:pt idx="1261">
                  <c:v>37.1</c:v>
                </c:pt>
                <c:pt idx="1262">
                  <c:v>28.05</c:v>
                </c:pt>
                <c:pt idx="1263">
                  <c:v>29.9</c:v>
                </c:pt>
                <c:pt idx="1264">
                  <c:v>33.344999999999999</c:v>
                </c:pt>
                <c:pt idx="1265">
                  <c:v>23.76</c:v>
                </c:pt>
                <c:pt idx="1266">
                  <c:v>30.5</c:v>
                </c:pt>
                <c:pt idx="1267">
                  <c:v>31.065000000000001</c:v>
                </c:pt>
                <c:pt idx="1268">
                  <c:v>33.299999999999997</c:v>
                </c:pt>
                <c:pt idx="1269">
                  <c:v>27.5</c:v>
                </c:pt>
                <c:pt idx="1270">
                  <c:v>33.914999999999999</c:v>
                </c:pt>
                <c:pt idx="1271">
                  <c:v>34.484999999999999</c:v>
                </c:pt>
                <c:pt idx="1272">
                  <c:v>25.52</c:v>
                </c:pt>
                <c:pt idx="1273">
                  <c:v>27.61</c:v>
                </c:pt>
                <c:pt idx="1274">
                  <c:v>27.06</c:v>
                </c:pt>
                <c:pt idx="1275">
                  <c:v>23.7</c:v>
                </c:pt>
                <c:pt idx="1276">
                  <c:v>30.4</c:v>
                </c:pt>
                <c:pt idx="1277">
                  <c:v>29.734999999999999</c:v>
                </c:pt>
                <c:pt idx="1278">
                  <c:v>29.925000000000001</c:v>
                </c:pt>
                <c:pt idx="1279">
                  <c:v>26.79</c:v>
                </c:pt>
                <c:pt idx="1280">
                  <c:v>33.33</c:v>
                </c:pt>
                <c:pt idx="1281">
                  <c:v>27.645</c:v>
                </c:pt>
                <c:pt idx="1282">
                  <c:v>21.66</c:v>
                </c:pt>
                <c:pt idx="1283">
                  <c:v>30.03</c:v>
                </c:pt>
                <c:pt idx="1284">
                  <c:v>36.299999999999997</c:v>
                </c:pt>
                <c:pt idx="1285">
                  <c:v>24.32</c:v>
                </c:pt>
                <c:pt idx="1286">
                  <c:v>17.29</c:v>
                </c:pt>
                <c:pt idx="1287">
                  <c:v>25.9</c:v>
                </c:pt>
                <c:pt idx="1288">
                  <c:v>39.4</c:v>
                </c:pt>
                <c:pt idx="1289">
                  <c:v>34.32</c:v>
                </c:pt>
                <c:pt idx="1290">
                  <c:v>19.95</c:v>
                </c:pt>
                <c:pt idx="1291">
                  <c:v>34.9</c:v>
                </c:pt>
                <c:pt idx="1292">
                  <c:v>23.21</c:v>
                </c:pt>
                <c:pt idx="1293">
                  <c:v>25.745000000000001</c:v>
                </c:pt>
                <c:pt idx="1294">
                  <c:v>25.175000000000001</c:v>
                </c:pt>
                <c:pt idx="1295">
                  <c:v>22</c:v>
                </c:pt>
                <c:pt idx="1296">
                  <c:v>26.125</c:v>
                </c:pt>
                <c:pt idx="1297">
                  <c:v>26.51</c:v>
                </c:pt>
                <c:pt idx="1298">
                  <c:v>27.454999999999998</c:v>
                </c:pt>
                <c:pt idx="1299">
                  <c:v>25.745000000000001</c:v>
                </c:pt>
                <c:pt idx="1300">
                  <c:v>30.36</c:v>
                </c:pt>
                <c:pt idx="1301">
                  <c:v>30.875</c:v>
                </c:pt>
                <c:pt idx="1302">
                  <c:v>20.8</c:v>
                </c:pt>
                <c:pt idx="1303">
                  <c:v>27.8</c:v>
                </c:pt>
                <c:pt idx="1304">
                  <c:v>24.605</c:v>
                </c:pt>
                <c:pt idx="1305">
                  <c:v>27.72</c:v>
                </c:pt>
                <c:pt idx="1306">
                  <c:v>21.85</c:v>
                </c:pt>
                <c:pt idx="1307">
                  <c:v>28.12</c:v>
                </c:pt>
                <c:pt idx="1308">
                  <c:v>30.2</c:v>
                </c:pt>
                <c:pt idx="1309">
                  <c:v>32.200000000000003</c:v>
                </c:pt>
                <c:pt idx="1310">
                  <c:v>26.315000000000001</c:v>
                </c:pt>
                <c:pt idx="1311">
                  <c:v>26.695</c:v>
                </c:pt>
                <c:pt idx="1312">
                  <c:v>42.9</c:v>
                </c:pt>
                <c:pt idx="1313">
                  <c:v>34.700000000000003</c:v>
                </c:pt>
                <c:pt idx="1314">
                  <c:v>23.655000000000001</c:v>
                </c:pt>
                <c:pt idx="1315">
                  <c:v>28.31</c:v>
                </c:pt>
                <c:pt idx="1316">
                  <c:v>20.6</c:v>
                </c:pt>
                <c:pt idx="1317">
                  <c:v>53.13</c:v>
                </c:pt>
                <c:pt idx="1318">
                  <c:v>39.71</c:v>
                </c:pt>
                <c:pt idx="1319">
                  <c:v>26.315000000000001</c:v>
                </c:pt>
                <c:pt idx="1320">
                  <c:v>31.065000000000001</c:v>
                </c:pt>
                <c:pt idx="1321">
                  <c:v>26.695</c:v>
                </c:pt>
                <c:pt idx="1322">
                  <c:v>38.83</c:v>
                </c:pt>
                <c:pt idx="1323">
                  <c:v>40.369999999999997</c:v>
                </c:pt>
                <c:pt idx="1324">
                  <c:v>25.934999999999999</c:v>
                </c:pt>
                <c:pt idx="1325">
                  <c:v>33.534999999999997</c:v>
                </c:pt>
                <c:pt idx="1326">
                  <c:v>32.869999999999997</c:v>
                </c:pt>
                <c:pt idx="1327">
                  <c:v>30.03</c:v>
                </c:pt>
                <c:pt idx="1328">
                  <c:v>24.225000000000001</c:v>
                </c:pt>
                <c:pt idx="1329">
                  <c:v>38.6</c:v>
                </c:pt>
                <c:pt idx="1330">
                  <c:v>25.74</c:v>
                </c:pt>
                <c:pt idx="1331">
                  <c:v>33.4</c:v>
                </c:pt>
                <c:pt idx="1332">
                  <c:v>44.7</c:v>
                </c:pt>
                <c:pt idx="1333">
                  <c:v>30.97</c:v>
                </c:pt>
                <c:pt idx="1334">
                  <c:v>31.92</c:v>
                </c:pt>
                <c:pt idx="1335">
                  <c:v>36.85</c:v>
                </c:pt>
                <c:pt idx="1336">
                  <c:v>25.8</c:v>
                </c:pt>
                <c:pt idx="1337">
                  <c:v>29.07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F0-5845-977F-ED0D8ADE3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486303"/>
        <c:axId val="2072488015"/>
      </c:scatterChart>
      <c:valAx>
        <c:axId val="2072486303"/>
        <c:scaling>
          <c:orientation val="minMax"/>
        </c:scaling>
        <c:delete val="0"/>
        <c:axPos val="b"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72488015"/>
        <c:crosses val="autoZero"/>
        <c:crossBetween val="midCat"/>
      </c:valAx>
      <c:valAx>
        <c:axId val="2072488015"/>
        <c:scaling>
          <c:orientation val="minMax"/>
        </c:scaling>
        <c:delete val="0"/>
        <c:axPos val="l"/>
        <c:majorGridlines>
          <c:spPr>
            <a:ln>
              <a:solidFill>
                <a:srgbClr val="EEEEFF"/>
              </a:solidFill>
            </a:ln>
          </c:spPr>
        </c:majorGridlines>
        <c:numFmt formatCode="0.000" sourceLinked="0"/>
        <c:majorTickMark val="out"/>
        <c:minorTickMark val="none"/>
        <c:tickLblPos val="nextTo"/>
        <c:crossAx val="207248630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/>
            </a:pPr>
            <a:r>
              <a:rPr lang="en-GB" sz="1000" b="0"/>
              <a:t>bmi vs charges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3"/>
            <c:spPr>
              <a:ln/>
            </c:spPr>
          </c:marker>
          <c:xVal>
            <c:numRef>
              <c:f>insurance!$G$2:$G$1339</c:f>
              <c:numCache>
                <c:formatCode>General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xVal>
          <c:yVal>
            <c:numRef>
              <c:f>insurance!$C$2:$C$1339</c:f>
              <c:numCache>
                <c:formatCode>General</c:formatCode>
                <c:ptCount val="1338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  <c:pt idx="937">
                  <c:v>24.225000000000001</c:v>
                </c:pt>
                <c:pt idx="938">
                  <c:v>26.18</c:v>
                </c:pt>
                <c:pt idx="939">
                  <c:v>29.48</c:v>
                </c:pt>
                <c:pt idx="940">
                  <c:v>23.21</c:v>
                </c:pt>
                <c:pt idx="941">
                  <c:v>46.09</c:v>
                </c:pt>
                <c:pt idx="942">
                  <c:v>40.185000000000002</c:v>
                </c:pt>
                <c:pt idx="943">
                  <c:v>22.61</c:v>
                </c:pt>
                <c:pt idx="944">
                  <c:v>39.93</c:v>
                </c:pt>
                <c:pt idx="945">
                  <c:v>35.799999999999997</c:v>
                </c:pt>
                <c:pt idx="946">
                  <c:v>35.799999999999997</c:v>
                </c:pt>
                <c:pt idx="947">
                  <c:v>34.200000000000003</c:v>
                </c:pt>
                <c:pt idx="948">
                  <c:v>31.254999999999999</c:v>
                </c:pt>
                <c:pt idx="949">
                  <c:v>29.7</c:v>
                </c:pt>
                <c:pt idx="950">
                  <c:v>18.335000000000001</c:v>
                </c:pt>
                <c:pt idx="951">
                  <c:v>42.9</c:v>
                </c:pt>
                <c:pt idx="952">
                  <c:v>28.405000000000001</c:v>
                </c:pt>
                <c:pt idx="953">
                  <c:v>30.2</c:v>
                </c:pt>
                <c:pt idx="954">
                  <c:v>27.835000000000001</c:v>
                </c:pt>
                <c:pt idx="955">
                  <c:v>39.49</c:v>
                </c:pt>
                <c:pt idx="956">
                  <c:v>30.8</c:v>
                </c:pt>
                <c:pt idx="957">
                  <c:v>26.79</c:v>
                </c:pt>
                <c:pt idx="958">
                  <c:v>34.96</c:v>
                </c:pt>
                <c:pt idx="959">
                  <c:v>36.67</c:v>
                </c:pt>
                <c:pt idx="960">
                  <c:v>39.615000000000002</c:v>
                </c:pt>
                <c:pt idx="961">
                  <c:v>25.9</c:v>
                </c:pt>
                <c:pt idx="962">
                  <c:v>35.200000000000003</c:v>
                </c:pt>
                <c:pt idx="963">
                  <c:v>24.795000000000002</c:v>
                </c:pt>
                <c:pt idx="964">
                  <c:v>36.765000000000001</c:v>
                </c:pt>
                <c:pt idx="965">
                  <c:v>27.1</c:v>
                </c:pt>
                <c:pt idx="966">
                  <c:v>24.795000000000002</c:v>
                </c:pt>
                <c:pt idx="967">
                  <c:v>25.364999999999998</c:v>
                </c:pt>
                <c:pt idx="968">
                  <c:v>25.745000000000001</c:v>
                </c:pt>
                <c:pt idx="969">
                  <c:v>34.32</c:v>
                </c:pt>
                <c:pt idx="970">
                  <c:v>28.16</c:v>
                </c:pt>
                <c:pt idx="971">
                  <c:v>23.56</c:v>
                </c:pt>
                <c:pt idx="972">
                  <c:v>20.234999999999999</c:v>
                </c:pt>
                <c:pt idx="973">
                  <c:v>40.5</c:v>
                </c:pt>
                <c:pt idx="974">
                  <c:v>35.42</c:v>
                </c:pt>
                <c:pt idx="975">
                  <c:v>22.895</c:v>
                </c:pt>
                <c:pt idx="976">
                  <c:v>40.15</c:v>
                </c:pt>
                <c:pt idx="977">
                  <c:v>29.15</c:v>
                </c:pt>
                <c:pt idx="978">
                  <c:v>39.994999999999997</c:v>
                </c:pt>
                <c:pt idx="979">
                  <c:v>29.92</c:v>
                </c:pt>
                <c:pt idx="980">
                  <c:v>25.46</c:v>
                </c:pt>
                <c:pt idx="981">
                  <c:v>21.375</c:v>
                </c:pt>
                <c:pt idx="982">
                  <c:v>25.9</c:v>
                </c:pt>
                <c:pt idx="983">
                  <c:v>30.59</c:v>
                </c:pt>
                <c:pt idx="984">
                  <c:v>30.114999999999998</c:v>
                </c:pt>
                <c:pt idx="985">
                  <c:v>25.8</c:v>
                </c:pt>
                <c:pt idx="986">
                  <c:v>30.114999999999998</c:v>
                </c:pt>
                <c:pt idx="987">
                  <c:v>27.645</c:v>
                </c:pt>
                <c:pt idx="988">
                  <c:v>34.674999999999997</c:v>
                </c:pt>
                <c:pt idx="989">
                  <c:v>20.52</c:v>
                </c:pt>
                <c:pt idx="990">
                  <c:v>19.8</c:v>
                </c:pt>
                <c:pt idx="991">
                  <c:v>27.835000000000001</c:v>
                </c:pt>
                <c:pt idx="992">
                  <c:v>31.6</c:v>
                </c:pt>
                <c:pt idx="993">
                  <c:v>28.27</c:v>
                </c:pt>
                <c:pt idx="994">
                  <c:v>20.045000000000002</c:v>
                </c:pt>
                <c:pt idx="995">
                  <c:v>23.274999999999999</c:v>
                </c:pt>
                <c:pt idx="996">
                  <c:v>34.1</c:v>
                </c:pt>
                <c:pt idx="997">
                  <c:v>36.85</c:v>
                </c:pt>
                <c:pt idx="998">
                  <c:v>36.29</c:v>
                </c:pt>
                <c:pt idx="999">
                  <c:v>26.885000000000002</c:v>
                </c:pt>
                <c:pt idx="1000">
                  <c:v>22.99</c:v>
                </c:pt>
                <c:pt idx="1001">
                  <c:v>32.700000000000003</c:v>
                </c:pt>
                <c:pt idx="1002">
                  <c:v>25.8</c:v>
                </c:pt>
                <c:pt idx="1003">
                  <c:v>29.6</c:v>
                </c:pt>
                <c:pt idx="1004">
                  <c:v>19.190000000000001</c:v>
                </c:pt>
                <c:pt idx="1005">
                  <c:v>31.73</c:v>
                </c:pt>
                <c:pt idx="1006">
                  <c:v>29.26</c:v>
                </c:pt>
                <c:pt idx="1007">
                  <c:v>28.215</c:v>
                </c:pt>
                <c:pt idx="1008">
                  <c:v>24.984999999999999</c:v>
                </c:pt>
                <c:pt idx="1009">
                  <c:v>27.74</c:v>
                </c:pt>
                <c:pt idx="1010">
                  <c:v>22.8</c:v>
                </c:pt>
                <c:pt idx="1011">
                  <c:v>20.13</c:v>
                </c:pt>
                <c:pt idx="1012">
                  <c:v>33.33</c:v>
                </c:pt>
                <c:pt idx="1013">
                  <c:v>32.299999999999997</c:v>
                </c:pt>
                <c:pt idx="1014">
                  <c:v>27.6</c:v>
                </c:pt>
                <c:pt idx="1015">
                  <c:v>25.46</c:v>
                </c:pt>
                <c:pt idx="1016">
                  <c:v>24.605</c:v>
                </c:pt>
                <c:pt idx="1017">
                  <c:v>34.200000000000003</c:v>
                </c:pt>
                <c:pt idx="1018">
                  <c:v>35.814999999999998</c:v>
                </c:pt>
                <c:pt idx="1019">
                  <c:v>32.68</c:v>
                </c:pt>
                <c:pt idx="1020">
                  <c:v>37</c:v>
                </c:pt>
                <c:pt idx="1021">
                  <c:v>31.02</c:v>
                </c:pt>
                <c:pt idx="1022">
                  <c:v>36.08</c:v>
                </c:pt>
                <c:pt idx="1023">
                  <c:v>23.32</c:v>
                </c:pt>
                <c:pt idx="1024">
                  <c:v>45.32</c:v>
                </c:pt>
                <c:pt idx="1025">
                  <c:v>34.6</c:v>
                </c:pt>
                <c:pt idx="1026">
                  <c:v>26.03</c:v>
                </c:pt>
                <c:pt idx="1027">
                  <c:v>18.715</c:v>
                </c:pt>
                <c:pt idx="1028">
                  <c:v>31.6</c:v>
                </c:pt>
                <c:pt idx="1029">
                  <c:v>17.29</c:v>
                </c:pt>
                <c:pt idx="1030">
                  <c:v>23.655000000000001</c:v>
                </c:pt>
                <c:pt idx="1031">
                  <c:v>35.200000000000003</c:v>
                </c:pt>
                <c:pt idx="1032">
                  <c:v>27.93</c:v>
                </c:pt>
                <c:pt idx="1033">
                  <c:v>21.565000000000001</c:v>
                </c:pt>
                <c:pt idx="1034">
                  <c:v>38.380000000000003</c:v>
                </c:pt>
                <c:pt idx="1035">
                  <c:v>23</c:v>
                </c:pt>
                <c:pt idx="1036">
                  <c:v>37.07</c:v>
                </c:pt>
                <c:pt idx="1037">
                  <c:v>30.495000000000001</c:v>
                </c:pt>
                <c:pt idx="1038">
                  <c:v>28.88</c:v>
                </c:pt>
                <c:pt idx="1039">
                  <c:v>27.265000000000001</c:v>
                </c:pt>
                <c:pt idx="1040">
                  <c:v>28.024999999999999</c:v>
                </c:pt>
                <c:pt idx="1041">
                  <c:v>23.085000000000001</c:v>
                </c:pt>
                <c:pt idx="1042">
                  <c:v>30.684999999999999</c:v>
                </c:pt>
                <c:pt idx="1043">
                  <c:v>25.8</c:v>
                </c:pt>
                <c:pt idx="1044">
                  <c:v>35.244999999999997</c:v>
                </c:pt>
                <c:pt idx="1045">
                  <c:v>24.7</c:v>
                </c:pt>
                <c:pt idx="1046">
                  <c:v>25.08</c:v>
                </c:pt>
                <c:pt idx="1047">
                  <c:v>52.58</c:v>
                </c:pt>
                <c:pt idx="1048">
                  <c:v>22.515000000000001</c:v>
                </c:pt>
                <c:pt idx="1049">
                  <c:v>30.9</c:v>
                </c:pt>
                <c:pt idx="1050">
                  <c:v>36.954999999999998</c:v>
                </c:pt>
                <c:pt idx="1051">
                  <c:v>26.41</c:v>
                </c:pt>
                <c:pt idx="1052">
                  <c:v>29.83</c:v>
                </c:pt>
                <c:pt idx="1053">
                  <c:v>29.8</c:v>
                </c:pt>
                <c:pt idx="1054">
                  <c:v>21.47</c:v>
                </c:pt>
                <c:pt idx="1055">
                  <c:v>27.645</c:v>
                </c:pt>
                <c:pt idx="1056">
                  <c:v>28.9</c:v>
                </c:pt>
                <c:pt idx="1057">
                  <c:v>31.79</c:v>
                </c:pt>
                <c:pt idx="1058">
                  <c:v>39.49</c:v>
                </c:pt>
                <c:pt idx="1059">
                  <c:v>33.82</c:v>
                </c:pt>
                <c:pt idx="1060">
                  <c:v>32.01</c:v>
                </c:pt>
                <c:pt idx="1061">
                  <c:v>27.94</c:v>
                </c:pt>
                <c:pt idx="1062">
                  <c:v>41.14</c:v>
                </c:pt>
                <c:pt idx="1063">
                  <c:v>28.594999999999999</c:v>
                </c:pt>
                <c:pt idx="1064">
                  <c:v>25.6</c:v>
                </c:pt>
                <c:pt idx="1065">
                  <c:v>25.3</c:v>
                </c:pt>
                <c:pt idx="1066">
                  <c:v>37.29</c:v>
                </c:pt>
                <c:pt idx="1067">
                  <c:v>42.655000000000001</c:v>
                </c:pt>
                <c:pt idx="1068">
                  <c:v>21.66</c:v>
                </c:pt>
                <c:pt idx="1069">
                  <c:v>31.9</c:v>
                </c:pt>
                <c:pt idx="1070">
                  <c:v>37.07</c:v>
                </c:pt>
                <c:pt idx="1071">
                  <c:v>31.445</c:v>
                </c:pt>
                <c:pt idx="1072">
                  <c:v>31.254999999999999</c:v>
                </c:pt>
                <c:pt idx="1073">
                  <c:v>28.88</c:v>
                </c:pt>
                <c:pt idx="1074">
                  <c:v>18.335000000000001</c:v>
                </c:pt>
                <c:pt idx="1075">
                  <c:v>29.59</c:v>
                </c:pt>
                <c:pt idx="1076">
                  <c:v>32</c:v>
                </c:pt>
                <c:pt idx="1077">
                  <c:v>26.03</c:v>
                </c:pt>
                <c:pt idx="1078">
                  <c:v>31.68</c:v>
                </c:pt>
                <c:pt idx="1079">
                  <c:v>33.659999999999997</c:v>
                </c:pt>
                <c:pt idx="1080">
                  <c:v>21.78</c:v>
                </c:pt>
                <c:pt idx="1081">
                  <c:v>27.835000000000001</c:v>
                </c:pt>
                <c:pt idx="1082">
                  <c:v>19.95</c:v>
                </c:pt>
                <c:pt idx="1083">
                  <c:v>31.5</c:v>
                </c:pt>
                <c:pt idx="1084">
                  <c:v>30.495000000000001</c:v>
                </c:pt>
                <c:pt idx="1085">
                  <c:v>18.3</c:v>
                </c:pt>
                <c:pt idx="1086">
                  <c:v>28.975000000000001</c:v>
                </c:pt>
                <c:pt idx="1087">
                  <c:v>31.54</c:v>
                </c:pt>
                <c:pt idx="1088">
                  <c:v>47.74</c:v>
                </c:pt>
                <c:pt idx="1089">
                  <c:v>22.1</c:v>
                </c:pt>
                <c:pt idx="1090">
                  <c:v>36.19</c:v>
                </c:pt>
                <c:pt idx="1091">
                  <c:v>29.83</c:v>
                </c:pt>
                <c:pt idx="1092">
                  <c:v>32.700000000000003</c:v>
                </c:pt>
                <c:pt idx="1093">
                  <c:v>30.4</c:v>
                </c:pt>
                <c:pt idx="1094">
                  <c:v>33.700000000000003</c:v>
                </c:pt>
                <c:pt idx="1095">
                  <c:v>31.35</c:v>
                </c:pt>
                <c:pt idx="1096">
                  <c:v>34.96</c:v>
                </c:pt>
                <c:pt idx="1097">
                  <c:v>33.770000000000003</c:v>
                </c:pt>
                <c:pt idx="1098">
                  <c:v>30.875</c:v>
                </c:pt>
                <c:pt idx="1099">
                  <c:v>33.99</c:v>
                </c:pt>
                <c:pt idx="1100">
                  <c:v>19.094999999999999</c:v>
                </c:pt>
                <c:pt idx="1101">
                  <c:v>28.6</c:v>
                </c:pt>
                <c:pt idx="1102">
                  <c:v>38.94</c:v>
                </c:pt>
                <c:pt idx="1103">
                  <c:v>36.08</c:v>
                </c:pt>
                <c:pt idx="1104">
                  <c:v>29.8</c:v>
                </c:pt>
                <c:pt idx="1105">
                  <c:v>31.24</c:v>
                </c:pt>
                <c:pt idx="1106">
                  <c:v>29.925000000000001</c:v>
                </c:pt>
                <c:pt idx="1107">
                  <c:v>26.22</c:v>
                </c:pt>
                <c:pt idx="1108">
                  <c:v>30</c:v>
                </c:pt>
                <c:pt idx="1109">
                  <c:v>20.350000000000001</c:v>
                </c:pt>
                <c:pt idx="1110">
                  <c:v>32.299999999999997</c:v>
                </c:pt>
                <c:pt idx="1111">
                  <c:v>38.39</c:v>
                </c:pt>
                <c:pt idx="1112">
                  <c:v>25.85</c:v>
                </c:pt>
                <c:pt idx="1113">
                  <c:v>26.315000000000001</c:v>
                </c:pt>
                <c:pt idx="1114">
                  <c:v>24.51</c:v>
                </c:pt>
                <c:pt idx="1115">
                  <c:v>32.67</c:v>
                </c:pt>
                <c:pt idx="1116">
                  <c:v>29.64</c:v>
                </c:pt>
                <c:pt idx="1117">
                  <c:v>33.33</c:v>
                </c:pt>
                <c:pt idx="1118">
                  <c:v>35.75</c:v>
                </c:pt>
                <c:pt idx="1119">
                  <c:v>19.95</c:v>
                </c:pt>
                <c:pt idx="1120">
                  <c:v>31.4</c:v>
                </c:pt>
                <c:pt idx="1121">
                  <c:v>38.17</c:v>
                </c:pt>
                <c:pt idx="1122">
                  <c:v>36.86</c:v>
                </c:pt>
                <c:pt idx="1123">
                  <c:v>32.395000000000003</c:v>
                </c:pt>
                <c:pt idx="1124">
                  <c:v>42.75</c:v>
                </c:pt>
                <c:pt idx="1125">
                  <c:v>25.08</c:v>
                </c:pt>
                <c:pt idx="1126">
                  <c:v>29.9</c:v>
                </c:pt>
                <c:pt idx="1127">
                  <c:v>35.86</c:v>
                </c:pt>
                <c:pt idx="1128">
                  <c:v>32.799999999999997</c:v>
                </c:pt>
                <c:pt idx="1129">
                  <c:v>18.600000000000001</c:v>
                </c:pt>
                <c:pt idx="1130">
                  <c:v>23.87</c:v>
                </c:pt>
                <c:pt idx="1131">
                  <c:v>45.9</c:v>
                </c:pt>
                <c:pt idx="1132">
                  <c:v>40.28</c:v>
                </c:pt>
                <c:pt idx="1133">
                  <c:v>18.335000000000001</c:v>
                </c:pt>
                <c:pt idx="1134">
                  <c:v>33.82</c:v>
                </c:pt>
                <c:pt idx="1135">
                  <c:v>28.12</c:v>
                </c:pt>
                <c:pt idx="1136">
                  <c:v>25</c:v>
                </c:pt>
                <c:pt idx="1137">
                  <c:v>22.23</c:v>
                </c:pt>
                <c:pt idx="1138">
                  <c:v>30.25</c:v>
                </c:pt>
                <c:pt idx="1139">
                  <c:v>32.49</c:v>
                </c:pt>
                <c:pt idx="1140">
                  <c:v>37.07</c:v>
                </c:pt>
                <c:pt idx="1141">
                  <c:v>32.6</c:v>
                </c:pt>
                <c:pt idx="1142">
                  <c:v>24.86</c:v>
                </c:pt>
                <c:pt idx="1143">
                  <c:v>32.340000000000003</c:v>
                </c:pt>
                <c:pt idx="1144">
                  <c:v>32.299999999999997</c:v>
                </c:pt>
                <c:pt idx="1145">
                  <c:v>32.774999999999999</c:v>
                </c:pt>
                <c:pt idx="1146">
                  <c:v>32.799999999999997</c:v>
                </c:pt>
                <c:pt idx="1147">
                  <c:v>31.92</c:v>
                </c:pt>
                <c:pt idx="1148">
                  <c:v>21.5</c:v>
                </c:pt>
                <c:pt idx="1149">
                  <c:v>34.1</c:v>
                </c:pt>
                <c:pt idx="1150">
                  <c:v>30.305</c:v>
                </c:pt>
                <c:pt idx="1151">
                  <c:v>36.479999999999997</c:v>
                </c:pt>
                <c:pt idx="1152">
                  <c:v>32.56</c:v>
                </c:pt>
                <c:pt idx="1153">
                  <c:v>35.814999999999998</c:v>
                </c:pt>
                <c:pt idx="1154">
                  <c:v>27.93</c:v>
                </c:pt>
                <c:pt idx="1155">
                  <c:v>22.135000000000002</c:v>
                </c:pt>
                <c:pt idx="1156">
                  <c:v>44.88</c:v>
                </c:pt>
                <c:pt idx="1157">
                  <c:v>23.18</c:v>
                </c:pt>
                <c:pt idx="1158">
                  <c:v>30.59</c:v>
                </c:pt>
                <c:pt idx="1159">
                  <c:v>41.1</c:v>
                </c:pt>
                <c:pt idx="1160">
                  <c:v>34.58</c:v>
                </c:pt>
                <c:pt idx="1161">
                  <c:v>42.13</c:v>
                </c:pt>
                <c:pt idx="1162">
                  <c:v>38.83</c:v>
                </c:pt>
                <c:pt idx="1163">
                  <c:v>28.215</c:v>
                </c:pt>
                <c:pt idx="1164">
                  <c:v>28.31</c:v>
                </c:pt>
                <c:pt idx="1165">
                  <c:v>26.125</c:v>
                </c:pt>
                <c:pt idx="1166">
                  <c:v>40.369999999999997</c:v>
                </c:pt>
                <c:pt idx="1167">
                  <c:v>24.6</c:v>
                </c:pt>
                <c:pt idx="1168">
                  <c:v>35.200000000000003</c:v>
                </c:pt>
                <c:pt idx="1169">
                  <c:v>34.104999999999997</c:v>
                </c:pt>
                <c:pt idx="1170">
                  <c:v>27.36</c:v>
                </c:pt>
                <c:pt idx="1171">
                  <c:v>26.7</c:v>
                </c:pt>
                <c:pt idx="1172">
                  <c:v>41.91</c:v>
                </c:pt>
                <c:pt idx="1173">
                  <c:v>29.26</c:v>
                </c:pt>
                <c:pt idx="1174">
                  <c:v>32.11</c:v>
                </c:pt>
                <c:pt idx="1175">
                  <c:v>27.1</c:v>
                </c:pt>
                <c:pt idx="1176">
                  <c:v>24.13</c:v>
                </c:pt>
                <c:pt idx="1177">
                  <c:v>27.4</c:v>
                </c:pt>
                <c:pt idx="1178">
                  <c:v>34.865000000000002</c:v>
                </c:pt>
                <c:pt idx="1179">
                  <c:v>29.81</c:v>
                </c:pt>
                <c:pt idx="1180">
                  <c:v>41.325000000000003</c:v>
                </c:pt>
                <c:pt idx="1181">
                  <c:v>29.925000000000001</c:v>
                </c:pt>
                <c:pt idx="1182">
                  <c:v>30.3</c:v>
                </c:pt>
                <c:pt idx="1183">
                  <c:v>27.36</c:v>
                </c:pt>
                <c:pt idx="1184">
                  <c:v>28.49</c:v>
                </c:pt>
                <c:pt idx="1185">
                  <c:v>23.56</c:v>
                </c:pt>
                <c:pt idx="1186">
                  <c:v>35.625</c:v>
                </c:pt>
                <c:pt idx="1187">
                  <c:v>32.68</c:v>
                </c:pt>
                <c:pt idx="1188">
                  <c:v>25.27</c:v>
                </c:pt>
                <c:pt idx="1189">
                  <c:v>28</c:v>
                </c:pt>
                <c:pt idx="1190">
                  <c:v>32.774999999999999</c:v>
                </c:pt>
                <c:pt idx="1191">
                  <c:v>21.754999999999999</c:v>
                </c:pt>
                <c:pt idx="1192">
                  <c:v>32.395000000000003</c:v>
                </c:pt>
                <c:pt idx="1193">
                  <c:v>36.575000000000003</c:v>
                </c:pt>
                <c:pt idx="1194">
                  <c:v>21.754999999999999</c:v>
                </c:pt>
                <c:pt idx="1195">
                  <c:v>27.93</c:v>
                </c:pt>
                <c:pt idx="1196">
                  <c:v>30.02</c:v>
                </c:pt>
                <c:pt idx="1197">
                  <c:v>33.549999999999997</c:v>
                </c:pt>
                <c:pt idx="1198">
                  <c:v>29.355</c:v>
                </c:pt>
                <c:pt idx="1199">
                  <c:v>25.8</c:v>
                </c:pt>
                <c:pt idx="1200">
                  <c:v>24.32</c:v>
                </c:pt>
                <c:pt idx="1201">
                  <c:v>40.375</c:v>
                </c:pt>
                <c:pt idx="1202">
                  <c:v>32.11</c:v>
                </c:pt>
                <c:pt idx="1203">
                  <c:v>32.299999999999997</c:v>
                </c:pt>
                <c:pt idx="1204">
                  <c:v>27.28</c:v>
                </c:pt>
                <c:pt idx="1205">
                  <c:v>17.86</c:v>
                </c:pt>
                <c:pt idx="1206">
                  <c:v>34.799999999999997</c:v>
                </c:pt>
                <c:pt idx="1207">
                  <c:v>33.4</c:v>
                </c:pt>
                <c:pt idx="1208">
                  <c:v>25.555</c:v>
                </c:pt>
                <c:pt idx="1209">
                  <c:v>37.1</c:v>
                </c:pt>
                <c:pt idx="1210">
                  <c:v>30.875</c:v>
                </c:pt>
                <c:pt idx="1211">
                  <c:v>34.1</c:v>
                </c:pt>
                <c:pt idx="1212">
                  <c:v>21.47</c:v>
                </c:pt>
                <c:pt idx="1213">
                  <c:v>33.299999999999997</c:v>
                </c:pt>
                <c:pt idx="1214">
                  <c:v>31.254999999999999</c:v>
                </c:pt>
                <c:pt idx="1215">
                  <c:v>39.14</c:v>
                </c:pt>
                <c:pt idx="1216">
                  <c:v>25.08</c:v>
                </c:pt>
                <c:pt idx="1217">
                  <c:v>37.29</c:v>
                </c:pt>
                <c:pt idx="1218">
                  <c:v>34.6</c:v>
                </c:pt>
                <c:pt idx="1219">
                  <c:v>30.21</c:v>
                </c:pt>
                <c:pt idx="1220">
                  <c:v>21.945</c:v>
                </c:pt>
                <c:pt idx="1221">
                  <c:v>24.97</c:v>
                </c:pt>
                <c:pt idx="1222">
                  <c:v>25.3</c:v>
                </c:pt>
                <c:pt idx="1223">
                  <c:v>24.42</c:v>
                </c:pt>
                <c:pt idx="1224">
                  <c:v>23.94</c:v>
                </c:pt>
                <c:pt idx="1225">
                  <c:v>39.82</c:v>
                </c:pt>
                <c:pt idx="1226">
                  <c:v>16.815000000000001</c:v>
                </c:pt>
                <c:pt idx="1227">
                  <c:v>37.18</c:v>
                </c:pt>
                <c:pt idx="1228">
                  <c:v>34.43</c:v>
                </c:pt>
                <c:pt idx="1229">
                  <c:v>30.305</c:v>
                </c:pt>
                <c:pt idx="1230">
                  <c:v>34.484999999999999</c:v>
                </c:pt>
                <c:pt idx="1231">
                  <c:v>21.8</c:v>
                </c:pt>
                <c:pt idx="1232">
                  <c:v>24.605</c:v>
                </c:pt>
                <c:pt idx="1233">
                  <c:v>23.3</c:v>
                </c:pt>
                <c:pt idx="1234">
                  <c:v>27.83</c:v>
                </c:pt>
                <c:pt idx="1235">
                  <c:v>31.065000000000001</c:v>
                </c:pt>
                <c:pt idx="1236">
                  <c:v>21.66</c:v>
                </c:pt>
                <c:pt idx="1237">
                  <c:v>28.215</c:v>
                </c:pt>
                <c:pt idx="1238">
                  <c:v>22.704999999999998</c:v>
                </c:pt>
                <c:pt idx="1239">
                  <c:v>42.13</c:v>
                </c:pt>
                <c:pt idx="1240">
                  <c:v>41.8</c:v>
                </c:pt>
                <c:pt idx="1241">
                  <c:v>36.96</c:v>
                </c:pt>
                <c:pt idx="1242">
                  <c:v>21.28</c:v>
                </c:pt>
                <c:pt idx="1243">
                  <c:v>33.11</c:v>
                </c:pt>
                <c:pt idx="1244">
                  <c:v>33.33</c:v>
                </c:pt>
                <c:pt idx="1245">
                  <c:v>24.3</c:v>
                </c:pt>
                <c:pt idx="1246">
                  <c:v>25.7</c:v>
                </c:pt>
                <c:pt idx="1247">
                  <c:v>29.4</c:v>
                </c:pt>
                <c:pt idx="1248">
                  <c:v>39.82</c:v>
                </c:pt>
                <c:pt idx="1249">
                  <c:v>33.630000000000003</c:v>
                </c:pt>
                <c:pt idx="1250">
                  <c:v>29.83</c:v>
                </c:pt>
                <c:pt idx="1251">
                  <c:v>19.8</c:v>
                </c:pt>
                <c:pt idx="1252">
                  <c:v>27.3</c:v>
                </c:pt>
                <c:pt idx="1253">
                  <c:v>29.3</c:v>
                </c:pt>
                <c:pt idx="1254">
                  <c:v>27.72</c:v>
                </c:pt>
                <c:pt idx="1255">
                  <c:v>37.9</c:v>
                </c:pt>
                <c:pt idx="1256">
                  <c:v>36.384999999999998</c:v>
                </c:pt>
                <c:pt idx="1257">
                  <c:v>27.645</c:v>
                </c:pt>
                <c:pt idx="1258">
                  <c:v>37.715000000000003</c:v>
                </c:pt>
                <c:pt idx="1259">
                  <c:v>23.18</c:v>
                </c:pt>
                <c:pt idx="1260">
                  <c:v>20.52</c:v>
                </c:pt>
                <c:pt idx="1261">
                  <c:v>37.1</c:v>
                </c:pt>
                <c:pt idx="1262">
                  <c:v>28.05</c:v>
                </c:pt>
                <c:pt idx="1263">
                  <c:v>29.9</c:v>
                </c:pt>
                <c:pt idx="1264">
                  <c:v>33.344999999999999</c:v>
                </c:pt>
                <c:pt idx="1265">
                  <c:v>23.76</c:v>
                </c:pt>
                <c:pt idx="1266">
                  <c:v>30.5</c:v>
                </c:pt>
                <c:pt idx="1267">
                  <c:v>31.065000000000001</c:v>
                </c:pt>
                <c:pt idx="1268">
                  <c:v>33.299999999999997</c:v>
                </c:pt>
                <c:pt idx="1269">
                  <c:v>27.5</c:v>
                </c:pt>
                <c:pt idx="1270">
                  <c:v>33.914999999999999</c:v>
                </c:pt>
                <c:pt idx="1271">
                  <c:v>34.484999999999999</c:v>
                </c:pt>
                <c:pt idx="1272">
                  <c:v>25.52</c:v>
                </c:pt>
                <c:pt idx="1273">
                  <c:v>27.61</c:v>
                </c:pt>
                <c:pt idx="1274">
                  <c:v>27.06</c:v>
                </c:pt>
                <c:pt idx="1275">
                  <c:v>23.7</c:v>
                </c:pt>
                <c:pt idx="1276">
                  <c:v>30.4</c:v>
                </c:pt>
                <c:pt idx="1277">
                  <c:v>29.734999999999999</c:v>
                </c:pt>
                <c:pt idx="1278">
                  <c:v>29.925000000000001</c:v>
                </c:pt>
                <c:pt idx="1279">
                  <c:v>26.79</c:v>
                </c:pt>
                <c:pt idx="1280">
                  <c:v>33.33</c:v>
                </c:pt>
                <c:pt idx="1281">
                  <c:v>27.645</c:v>
                </c:pt>
                <c:pt idx="1282">
                  <c:v>21.66</c:v>
                </c:pt>
                <c:pt idx="1283">
                  <c:v>30.03</c:v>
                </c:pt>
                <c:pt idx="1284">
                  <c:v>36.299999999999997</c:v>
                </c:pt>
                <c:pt idx="1285">
                  <c:v>24.32</c:v>
                </c:pt>
                <c:pt idx="1286">
                  <c:v>17.29</c:v>
                </c:pt>
                <c:pt idx="1287">
                  <c:v>25.9</c:v>
                </c:pt>
                <c:pt idx="1288">
                  <c:v>39.4</c:v>
                </c:pt>
                <c:pt idx="1289">
                  <c:v>34.32</c:v>
                </c:pt>
                <c:pt idx="1290">
                  <c:v>19.95</c:v>
                </c:pt>
                <c:pt idx="1291">
                  <c:v>34.9</c:v>
                </c:pt>
                <c:pt idx="1292">
                  <c:v>23.21</c:v>
                </c:pt>
                <c:pt idx="1293">
                  <c:v>25.745000000000001</c:v>
                </c:pt>
                <c:pt idx="1294">
                  <c:v>25.175000000000001</c:v>
                </c:pt>
                <c:pt idx="1295">
                  <c:v>22</c:v>
                </c:pt>
                <c:pt idx="1296">
                  <c:v>26.125</c:v>
                </c:pt>
                <c:pt idx="1297">
                  <c:v>26.51</c:v>
                </c:pt>
                <c:pt idx="1298">
                  <c:v>27.454999999999998</c:v>
                </c:pt>
                <c:pt idx="1299">
                  <c:v>25.745000000000001</c:v>
                </c:pt>
                <c:pt idx="1300">
                  <c:v>30.36</c:v>
                </c:pt>
                <c:pt idx="1301">
                  <c:v>30.875</c:v>
                </c:pt>
                <c:pt idx="1302">
                  <c:v>20.8</c:v>
                </c:pt>
                <c:pt idx="1303">
                  <c:v>27.8</c:v>
                </c:pt>
                <c:pt idx="1304">
                  <c:v>24.605</c:v>
                </c:pt>
                <c:pt idx="1305">
                  <c:v>27.72</c:v>
                </c:pt>
                <c:pt idx="1306">
                  <c:v>21.85</c:v>
                </c:pt>
                <c:pt idx="1307">
                  <c:v>28.12</c:v>
                </c:pt>
                <c:pt idx="1308">
                  <c:v>30.2</c:v>
                </c:pt>
                <c:pt idx="1309">
                  <c:v>32.200000000000003</c:v>
                </c:pt>
                <c:pt idx="1310">
                  <c:v>26.315000000000001</c:v>
                </c:pt>
                <c:pt idx="1311">
                  <c:v>26.695</c:v>
                </c:pt>
                <c:pt idx="1312">
                  <c:v>42.9</c:v>
                </c:pt>
                <c:pt idx="1313">
                  <c:v>34.700000000000003</c:v>
                </c:pt>
                <c:pt idx="1314">
                  <c:v>23.655000000000001</c:v>
                </c:pt>
                <c:pt idx="1315">
                  <c:v>28.31</c:v>
                </c:pt>
                <c:pt idx="1316">
                  <c:v>20.6</c:v>
                </c:pt>
                <c:pt idx="1317">
                  <c:v>53.13</c:v>
                </c:pt>
                <c:pt idx="1318">
                  <c:v>39.71</c:v>
                </c:pt>
                <c:pt idx="1319">
                  <c:v>26.315000000000001</c:v>
                </c:pt>
                <c:pt idx="1320">
                  <c:v>31.065000000000001</c:v>
                </c:pt>
                <c:pt idx="1321">
                  <c:v>26.695</c:v>
                </c:pt>
                <c:pt idx="1322">
                  <c:v>38.83</c:v>
                </c:pt>
                <c:pt idx="1323">
                  <c:v>40.369999999999997</c:v>
                </c:pt>
                <c:pt idx="1324">
                  <c:v>25.934999999999999</c:v>
                </c:pt>
                <c:pt idx="1325">
                  <c:v>33.534999999999997</c:v>
                </c:pt>
                <c:pt idx="1326">
                  <c:v>32.869999999999997</c:v>
                </c:pt>
                <c:pt idx="1327">
                  <c:v>30.03</c:v>
                </c:pt>
                <c:pt idx="1328">
                  <c:v>24.225000000000001</c:v>
                </c:pt>
                <c:pt idx="1329">
                  <c:v>38.6</c:v>
                </c:pt>
                <c:pt idx="1330">
                  <c:v>25.74</c:v>
                </c:pt>
                <c:pt idx="1331">
                  <c:v>33.4</c:v>
                </c:pt>
                <c:pt idx="1332">
                  <c:v>44.7</c:v>
                </c:pt>
                <c:pt idx="1333">
                  <c:v>30.97</c:v>
                </c:pt>
                <c:pt idx="1334">
                  <c:v>31.92</c:v>
                </c:pt>
                <c:pt idx="1335">
                  <c:v>36.85</c:v>
                </c:pt>
                <c:pt idx="1336">
                  <c:v>25.8</c:v>
                </c:pt>
                <c:pt idx="1337">
                  <c:v>29.07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C1-6148-93BD-B98CF0796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922879"/>
        <c:axId val="2072893855"/>
      </c:scatterChart>
      <c:valAx>
        <c:axId val="2072922879"/>
        <c:scaling>
          <c:orientation val="minMax"/>
        </c:scaling>
        <c:delete val="0"/>
        <c:axPos val="b"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72893855"/>
        <c:crosses val="autoZero"/>
        <c:crossBetween val="midCat"/>
      </c:valAx>
      <c:valAx>
        <c:axId val="2072893855"/>
        <c:scaling>
          <c:orientation val="minMax"/>
        </c:scaling>
        <c:delete val="0"/>
        <c:axPos val="l"/>
        <c:majorGridlines>
          <c:spPr>
            <a:ln>
              <a:solidFill>
                <a:srgbClr val="EEEEFF"/>
              </a:solidFill>
            </a:ln>
          </c:spPr>
        </c:majorGridlines>
        <c:numFmt formatCode="0.000" sourceLinked="0"/>
        <c:majorTickMark val="out"/>
        <c:minorTickMark val="none"/>
        <c:tickLblPos val="nextTo"/>
        <c:crossAx val="207292287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/>
            </a:pPr>
            <a:r>
              <a:rPr lang="en-GB" sz="1000" b="0"/>
              <a:t>children vs age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3"/>
            <c:spPr>
              <a:ln/>
            </c:spPr>
          </c:marker>
          <c:xVal>
            <c:numRef>
              <c:f>insurance!$A$2:$A$1339</c:f>
              <c:numCache>
                <c:formatCode>General</c:formatCode>
                <c:ptCount val="1338"/>
                <c:pt idx="0">
                  <c:v>19</c:v>
                </c:pt>
                <c:pt idx="1">
                  <c:v>18</c:v>
                </c:pt>
                <c:pt idx="2">
                  <c:v>28</c:v>
                </c:pt>
                <c:pt idx="3">
                  <c:v>33</c:v>
                </c:pt>
                <c:pt idx="4">
                  <c:v>32</c:v>
                </c:pt>
                <c:pt idx="5">
                  <c:v>31</c:v>
                </c:pt>
                <c:pt idx="6">
                  <c:v>46</c:v>
                </c:pt>
                <c:pt idx="7">
                  <c:v>37</c:v>
                </c:pt>
                <c:pt idx="8">
                  <c:v>37</c:v>
                </c:pt>
                <c:pt idx="9">
                  <c:v>60</c:v>
                </c:pt>
                <c:pt idx="10">
                  <c:v>25</c:v>
                </c:pt>
                <c:pt idx="11">
                  <c:v>62</c:v>
                </c:pt>
                <c:pt idx="12">
                  <c:v>23</c:v>
                </c:pt>
                <c:pt idx="13">
                  <c:v>56</c:v>
                </c:pt>
                <c:pt idx="14">
                  <c:v>27</c:v>
                </c:pt>
                <c:pt idx="15">
                  <c:v>19</c:v>
                </c:pt>
                <c:pt idx="16">
                  <c:v>52</c:v>
                </c:pt>
                <c:pt idx="17">
                  <c:v>23</c:v>
                </c:pt>
                <c:pt idx="18">
                  <c:v>56</c:v>
                </c:pt>
                <c:pt idx="19">
                  <c:v>30</c:v>
                </c:pt>
                <c:pt idx="20">
                  <c:v>60</c:v>
                </c:pt>
                <c:pt idx="21">
                  <c:v>30</c:v>
                </c:pt>
                <c:pt idx="22">
                  <c:v>18</c:v>
                </c:pt>
                <c:pt idx="23">
                  <c:v>34</c:v>
                </c:pt>
                <c:pt idx="24">
                  <c:v>37</c:v>
                </c:pt>
                <c:pt idx="25">
                  <c:v>59</c:v>
                </c:pt>
                <c:pt idx="26">
                  <c:v>63</c:v>
                </c:pt>
                <c:pt idx="27">
                  <c:v>55</c:v>
                </c:pt>
                <c:pt idx="28">
                  <c:v>23</c:v>
                </c:pt>
                <c:pt idx="29">
                  <c:v>31</c:v>
                </c:pt>
                <c:pt idx="30">
                  <c:v>22</c:v>
                </c:pt>
                <c:pt idx="31">
                  <c:v>18</c:v>
                </c:pt>
                <c:pt idx="32">
                  <c:v>19</c:v>
                </c:pt>
                <c:pt idx="33">
                  <c:v>63</c:v>
                </c:pt>
                <c:pt idx="34">
                  <c:v>28</c:v>
                </c:pt>
                <c:pt idx="35">
                  <c:v>19</c:v>
                </c:pt>
                <c:pt idx="36">
                  <c:v>62</c:v>
                </c:pt>
                <c:pt idx="37">
                  <c:v>26</c:v>
                </c:pt>
                <c:pt idx="38">
                  <c:v>35</c:v>
                </c:pt>
                <c:pt idx="39">
                  <c:v>60</c:v>
                </c:pt>
                <c:pt idx="40">
                  <c:v>24</c:v>
                </c:pt>
                <c:pt idx="41">
                  <c:v>31</c:v>
                </c:pt>
                <c:pt idx="42">
                  <c:v>41</c:v>
                </c:pt>
                <c:pt idx="43">
                  <c:v>37</c:v>
                </c:pt>
                <c:pt idx="44">
                  <c:v>38</c:v>
                </c:pt>
                <c:pt idx="45">
                  <c:v>55</c:v>
                </c:pt>
                <c:pt idx="46">
                  <c:v>18</c:v>
                </c:pt>
                <c:pt idx="47">
                  <c:v>28</c:v>
                </c:pt>
                <c:pt idx="48">
                  <c:v>60</c:v>
                </c:pt>
                <c:pt idx="49">
                  <c:v>36</c:v>
                </c:pt>
                <c:pt idx="50">
                  <c:v>18</c:v>
                </c:pt>
                <c:pt idx="51">
                  <c:v>21</c:v>
                </c:pt>
                <c:pt idx="52">
                  <c:v>48</c:v>
                </c:pt>
                <c:pt idx="53">
                  <c:v>36</c:v>
                </c:pt>
                <c:pt idx="54">
                  <c:v>40</c:v>
                </c:pt>
                <c:pt idx="55">
                  <c:v>58</c:v>
                </c:pt>
                <c:pt idx="56">
                  <c:v>58</c:v>
                </c:pt>
                <c:pt idx="57">
                  <c:v>18</c:v>
                </c:pt>
                <c:pt idx="58">
                  <c:v>53</c:v>
                </c:pt>
                <c:pt idx="59">
                  <c:v>34</c:v>
                </c:pt>
                <c:pt idx="60">
                  <c:v>43</c:v>
                </c:pt>
                <c:pt idx="61">
                  <c:v>25</c:v>
                </c:pt>
                <c:pt idx="62">
                  <c:v>64</c:v>
                </c:pt>
                <c:pt idx="63">
                  <c:v>28</c:v>
                </c:pt>
                <c:pt idx="64">
                  <c:v>20</c:v>
                </c:pt>
                <c:pt idx="65">
                  <c:v>19</c:v>
                </c:pt>
                <c:pt idx="66">
                  <c:v>61</c:v>
                </c:pt>
                <c:pt idx="67">
                  <c:v>40</c:v>
                </c:pt>
                <c:pt idx="68">
                  <c:v>40</c:v>
                </c:pt>
                <c:pt idx="69">
                  <c:v>28</c:v>
                </c:pt>
                <c:pt idx="70">
                  <c:v>27</c:v>
                </c:pt>
                <c:pt idx="71">
                  <c:v>31</c:v>
                </c:pt>
                <c:pt idx="72">
                  <c:v>53</c:v>
                </c:pt>
                <c:pt idx="73">
                  <c:v>58</c:v>
                </c:pt>
                <c:pt idx="74">
                  <c:v>44</c:v>
                </c:pt>
                <c:pt idx="75">
                  <c:v>57</c:v>
                </c:pt>
                <c:pt idx="76">
                  <c:v>29</c:v>
                </c:pt>
                <c:pt idx="77">
                  <c:v>21</c:v>
                </c:pt>
                <c:pt idx="78">
                  <c:v>22</c:v>
                </c:pt>
                <c:pt idx="79">
                  <c:v>41</c:v>
                </c:pt>
                <c:pt idx="80">
                  <c:v>31</c:v>
                </c:pt>
                <c:pt idx="81">
                  <c:v>45</c:v>
                </c:pt>
                <c:pt idx="82">
                  <c:v>22</c:v>
                </c:pt>
                <c:pt idx="83">
                  <c:v>48</c:v>
                </c:pt>
                <c:pt idx="84">
                  <c:v>37</c:v>
                </c:pt>
                <c:pt idx="85">
                  <c:v>45</c:v>
                </c:pt>
                <c:pt idx="86">
                  <c:v>57</c:v>
                </c:pt>
                <c:pt idx="87">
                  <c:v>56</c:v>
                </c:pt>
                <c:pt idx="88">
                  <c:v>46</c:v>
                </c:pt>
                <c:pt idx="89">
                  <c:v>55</c:v>
                </c:pt>
                <c:pt idx="90">
                  <c:v>21</c:v>
                </c:pt>
                <c:pt idx="91">
                  <c:v>53</c:v>
                </c:pt>
                <c:pt idx="92">
                  <c:v>59</c:v>
                </c:pt>
                <c:pt idx="93">
                  <c:v>35</c:v>
                </c:pt>
                <c:pt idx="94">
                  <c:v>64</c:v>
                </c:pt>
                <c:pt idx="95">
                  <c:v>28</c:v>
                </c:pt>
                <c:pt idx="96">
                  <c:v>54</c:v>
                </c:pt>
                <c:pt idx="97">
                  <c:v>55</c:v>
                </c:pt>
                <c:pt idx="98">
                  <c:v>56</c:v>
                </c:pt>
                <c:pt idx="99">
                  <c:v>38</c:v>
                </c:pt>
                <c:pt idx="100">
                  <c:v>41</c:v>
                </c:pt>
                <c:pt idx="101">
                  <c:v>30</c:v>
                </c:pt>
                <c:pt idx="102">
                  <c:v>18</c:v>
                </c:pt>
                <c:pt idx="103">
                  <c:v>61</c:v>
                </c:pt>
                <c:pt idx="104">
                  <c:v>34</c:v>
                </c:pt>
                <c:pt idx="105">
                  <c:v>20</c:v>
                </c:pt>
                <c:pt idx="106">
                  <c:v>19</c:v>
                </c:pt>
                <c:pt idx="107">
                  <c:v>26</c:v>
                </c:pt>
                <c:pt idx="108">
                  <c:v>29</c:v>
                </c:pt>
                <c:pt idx="109">
                  <c:v>63</c:v>
                </c:pt>
                <c:pt idx="110">
                  <c:v>54</c:v>
                </c:pt>
                <c:pt idx="111">
                  <c:v>55</c:v>
                </c:pt>
                <c:pt idx="112">
                  <c:v>37</c:v>
                </c:pt>
                <c:pt idx="113">
                  <c:v>21</c:v>
                </c:pt>
                <c:pt idx="114">
                  <c:v>52</c:v>
                </c:pt>
                <c:pt idx="115">
                  <c:v>60</c:v>
                </c:pt>
                <c:pt idx="116">
                  <c:v>58</c:v>
                </c:pt>
                <c:pt idx="117">
                  <c:v>29</c:v>
                </c:pt>
                <c:pt idx="118">
                  <c:v>49</c:v>
                </c:pt>
                <c:pt idx="119">
                  <c:v>37</c:v>
                </c:pt>
                <c:pt idx="120">
                  <c:v>44</c:v>
                </c:pt>
                <c:pt idx="121">
                  <c:v>18</c:v>
                </c:pt>
                <c:pt idx="122">
                  <c:v>20</c:v>
                </c:pt>
                <c:pt idx="123">
                  <c:v>44</c:v>
                </c:pt>
                <c:pt idx="124">
                  <c:v>47</c:v>
                </c:pt>
                <c:pt idx="125">
                  <c:v>26</c:v>
                </c:pt>
                <c:pt idx="126">
                  <c:v>19</c:v>
                </c:pt>
                <c:pt idx="127">
                  <c:v>52</c:v>
                </c:pt>
                <c:pt idx="128">
                  <c:v>32</c:v>
                </c:pt>
                <c:pt idx="129">
                  <c:v>38</c:v>
                </c:pt>
                <c:pt idx="130">
                  <c:v>59</c:v>
                </c:pt>
                <c:pt idx="131">
                  <c:v>61</c:v>
                </c:pt>
                <c:pt idx="132">
                  <c:v>53</c:v>
                </c:pt>
                <c:pt idx="133">
                  <c:v>19</c:v>
                </c:pt>
                <c:pt idx="134">
                  <c:v>20</c:v>
                </c:pt>
                <c:pt idx="135">
                  <c:v>22</c:v>
                </c:pt>
                <c:pt idx="136">
                  <c:v>19</c:v>
                </c:pt>
                <c:pt idx="137">
                  <c:v>22</c:v>
                </c:pt>
                <c:pt idx="138">
                  <c:v>54</c:v>
                </c:pt>
                <c:pt idx="139">
                  <c:v>22</c:v>
                </c:pt>
                <c:pt idx="140">
                  <c:v>34</c:v>
                </c:pt>
                <c:pt idx="141">
                  <c:v>26</c:v>
                </c:pt>
                <c:pt idx="142">
                  <c:v>34</c:v>
                </c:pt>
                <c:pt idx="143">
                  <c:v>29</c:v>
                </c:pt>
                <c:pt idx="144">
                  <c:v>30</c:v>
                </c:pt>
                <c:pt idx="145">
                  <c:v>29</c:v>
                </c:pt>
                <c:pt idx="146">
                  <c:v>46</c:v>
                </c:pt>
                <c:pt idx="147">
                  <c:v>51</c:v>
                </c:pt>
                <c:pt idx="148">
                  <c:v>53</c:v>
                </c:pt>
                <c:pt idx="149">
                  <c:v>19</c:v>
                </c:pt>
                <c:pt idx="150">
                  <c:v>35</c:v>
                </c:pt>
                <c:pt idx="151">
                  <c:v>48</c:v>
                </c:pt>
                <c:pt idx="152">
                  <c:v>32</c:v>
                </c:pt>
                <c:pt idx="153">
                  <c:v>42</c:v>
                </c:pt>
                <c:pt idx="154">
                  <c:v>40</c:v>
                </c:pt>
                <c:pt idx="155">
                  <c:v>44</c:v>
                </c:pt>
                <c:pt idx="156">
                  <c:v>48</c:v>
                </c:pt>
                <c:pt idx="157">
                  <c:v>18</c:v>
                </c:pt>
                <c:pt idx="158">
                  <c:v>30</c:v>
                </c:pt>
                <c:pt idx="159">
                  <c:v>50</c:v>
                </c:pt>
                <c:pt idx="160">
                  <c:v>42</c:v>
                </c:pt>
                <c:pt idx="161">
                  <c:v>18</c:v>
                </c:pt>
                <c:pt idx="162">
                  <c:v>54</c:v>
                </c:pt>
                <c:pt idx="163">
                  <c:v>32</c:v>
                </c:pt>
                <c:pt idx="164">
                  <c:v>37</c:v>
                </c:pt>
                <c:pt idx="165">
                  <c:v>47</c:v>
                </c:pt>
                <c:pt idx="166">
                  <c:v>20</c:v>
                </c:pt>
                <c:pt idx="167">
                  <c:v>32</c:v>
                </c:pt>
                <c:pt idx="168">
                  <c:v>19</c:v>
                </c:pt>
                <c:pt idx="169">
                  <c:v>27</c:v>
                </c:pt>
                <c:pt idx="170">
                  <c:v>63</c:v>
                </c:pt>
                <c:pt idx="171">
                  <c:v>49</c:v>
                </c:pt>
                <c:pt idx="172">
                  <c:v>18</c:v>
                </c:pt>
                <c:pt idx="173">
                  <c:v>35</c:v>
                </c:pt>
                <c:pt idx="174">
                  <c:v>24</c:v>
                </c:pt>
                <c:pt idx="175">
                  <c:v>63</c:v>
                </c:pt>
                <c:pt idx="176">
                  <c:v>38</c:v>
                </c:pt>
                <c:pt idx="177">
                  <c:v>54</c:v>
                </c:pt>
                <c:pt idx="178">
                  <c:v>46</c:v>
                </c:pt>
                <c:pt idx="179">
                  <c:v>41</c:v>
                </c:pt>
                <c:pt idx="180">
                  <c:v>58</c:v>
                </c:pt>
                <c:pt idx="181">
                  <c:v>18</c:v>
                </c:pt>
                <c:pt idx="182">
                  <c:v>22</c:v>
                </c:pt>
                <c:pt idx="183">
                  <c:v>44</c:v>
                </c:pt>
                <c:pt idx="184">
                  <c:v>44</c:v>
                </c:pt>
                <c:pt idx="185">
                  <c:v>36</c:v>
                </c:pt>
                <c:pt idx="186">
                  <c:v>26</c:v>
                </c:pt>
                <c:pt idx="187">
                  <c:v>30</c:v>
                </c:pt>
                <c:pt idx="188">
                  <c:v>41</c:v>
                </c:pt>
                <c:pt idx="189">
                  <c:v>29</c:v>
                </c:pt>
                <c:pt idx="190">
                  <c:v>61</c:v>
                </c:pt>
                <c:pt idx="191">
                  <c:v>36</c:v>
                </c:pt>
                <c:pt idx="192">
                  <c:v>25</c:v>
                </c:pt>
                <c:pt idx="193">
                  <c:v>56</c:v>
                </c:pt>
                <c:pt idx="194">
                  <c:v>18</c:v>
                </c:pt>
                <c:pt idx="195">
                  <c:v>19</c:v>
                </c:pt>
                <c:pt idx="196">
                  <c:v>39</c:v>
                </c:pt>
                <c:pt idx="197">
                  <c:v>45</c:v>
                </c:pt>
                <c:pt idx="198">
                  <c:v>51</c:v>
                </c:pt>
                <c:pt idx="199">
                  <c:v>64</c:v>
                </c:pt>
                <c:pt idx="200">
                  <c:v>19</c:v>
                </c:pt>
                <c:pt idx="201">
                  <c:v>48</c:v>
                </c:pt>
                <c:pt idx="202">
                  <c:v>60</c:v>
                </c:pt>
                <c:pt idx="203">
                  <c:v>27</c:v>
                </c:pt>
                <c:pt idx="204">
                  <c:v>46</c:v>
                </c:pt>
                <c:pt idx="205">
                  <c:v>28</c:v>
                </c:pt>
                <c:pt idx="206">
                  <c:v>59</c:v>
                </c:pt>
                <c:pt idx="207">
                  <c:v>35</c:v>
                </c:pt>
                <c:pt idx="208">
                  <c:v>63</c:v>
                </c:pt>
                <c:pt idx="209">
                  <c:v>40</c:v>
                </c:pt>
                <c:pt idx="210">
                  <c:v>20</c:v>
                </c:pt>
                <c:pt idx="211">
                  <c:v>40</c:v>
                </c:pt>
                <c:pt idx="212">
                  <c:v>24</c:v>
                </c:pt>
                <c:pt idx="213">
                  <c:v>34</c:v>
                </c:pt>
                <c:pt idx="214">
                  <c:v>45</c:v>
                </c:pt>
                <c:pt idx="215">
                  <c:v>41</c:v>
                </c:pt>
                <c:pt idx="216">
                  <c:v>53</c:v>
                </c:pt>
                <c:pt idx="217">
                  <c:v>27</c:v>
                </c:pt>
                <c:pt idx="218">
                  <c:v>26</c:v>
                </c:pt>
                <c:pt idx="219">
                  <c:v>24</c:v>
                </c:pt>
                <c:pt idx="220">
                  <c:v>34</c:v>
                </c:pt>
                <c:pt idx="221">
                  <c:v>53</c:v>
                </c:pt>
                <c:pt idx="222">
                  <c:v>32</c:v>
                </c:pt>
                <c:pt idx="223">
                  <c:v>19</c:v>
                </c:pt>
                <c:pt idx="224">
                  <c:v>42</c:v>
                </c:pt>
                <c:pt idx="225">
                  <c:v>55</c:v>
                </c:pt>
                <c:pt idx="226">
                  <c:v>28</c:v>
                </c:pt>
                <c:pt idx="227">
                  <c:v>58</c:v>
                </c:pt>
                <c:pt idx="228">
                  <c:v>41</c:v>
                </c:pt>
                <c:pt idx="229">
                  <c:v>47</c:v>
                </c:pt>
                <c:pt idx="230">
                  <c:v>42</c:v>
                </c:pt>
                <c:pt idx="231">
                  <c:v>59</c:v>
                </c:pt>
                <c:pt idx="232">
                  <c:v>19</c:v>
                </c:pt>
                <c:pt idx="233">
                  <c:v>59</c:v>
                </c:pt>
                <c:pt idx="234">
                  <c:v>39</c:v>
                </c:pt>
                <c:pt idx="235">
                  <c:v>40</c:v>
                </c:pt>
                <c:pt idx="236">
                  <c:v>18</c:v>
                </c:pt>
                <c:pt idx="237">
                  <c:v>31</c:v>
                </c:pt>
                <c:pt idx="238">
                  <c:v>19</c:v>
                </c:pt>
                <c:pt idx="239">
                  <c:v>44</c:v>
                </c:pt>
                <c:pt idx="240">
                  <c:v>23</c:v>
                </c:pt>
                <c:pt idx="241">
                  <c:v>33</c:v>
                </c:pt>
                <c:pt idx="242">
                  <c:v>55</c:v>
                </c:pt>
                <c:pt idx="243">
                  <c:v>40</c:v>
                </c:pt>
                <c:pt idx="244">
                  <c:v>63</c:v>
                </c:pt>
                <c:pt idx="245">
                  <c:v>54</c:v>
                </c:pt>
                <c:pt idx="246">
                  <c:v>60</c:v>
                </c:pt>
                <c:pt idx="247">
                  <c:v>24</c:v>
                </c:pt>
                <c:pt idx="248">
                  <c:v>19</c:v>
                </c:pt>
                <c:pt idx="249">
                  <c:v>29</c:v>
                </c:pt>
                <c:pt idx="250">
                  <c:v>18</c:v>
                </c:pt>
                <c:pt idx="251">
                  <c:v>63</c:v>
                </c:pt>
                <c:pt idx="252">
                  <c:v>54</c:v>
                </c:pt>
                <c:pt idx="253">
                  <c:v>27</c:v>
                </c:pt>
                <c:pt idx="254">
                  <c:v>50</c:v>
                </c:pt>
                <c:pt idx="255">
                  <c:v>55</c:v>
                </c:pt>
                <c:pt idx="256">
                  <c:v>56</c:v>
                </c:pt>
                <c:pt idx="257">
                  <c:v>38</c:v>
                </c:pt>
                <c:pt idx="258">
                  <c:v>51</c:v>
                </c:pt>
                <c:pt idx="259">
                  <c:v>19</c:v>
                </c:pt>
                <c:pt idx="260">
                  <c:v>58</c:v>
                </c:pt>
                <c:pt idx="261">
                  <c:v>20</c:v>
                </c:pt>
                <c:pt idx="262">
                  <c:v>52</c:v>
                </c:pt>
                <c:pt idx="263">
                  <c:v>19</c:v>
                </c:pt>
                <c:pt idx="264">
                  <c:v>53</c:v>
                </c:pt>
                <c:pt idx="265">
                  <c:v>46</c:v>
                </c:pt>
                <c:pt idx="266">
                  <c:v>40</c:v>
                </c:pt>
                <c:pt idx="267">
                  <c:v>59</c:v>
                </c:pt>
                <c:pt idx="268">
                  <c:v>45</c:v>
                </c:pt>
                <c:pt idx="269">
                  <c:v>49</c:v>
                </c:pt>
                <c:pt idx="270">
                  <c:v>18</c:v>
                </c:pt>
                <c:pt idx="271">
                  <c:v>50</c:v>
                </c:pt>
                <c:pt idx="272">
                  <c:v>41</c:v>
                </c:pt>
                <c:pt idx="273">
                  <c:v>50</c:v>
                </c:pt>
                <c:pt idx="274">
                  <c:v>25</c:v>
                </c:pt>
                <c:pt idx="275">
                  <c:v>47</c:v>
                </c:pt>
                <c:pt idx="276">
                  <c:v>19</c:v>
                </c:pt>
                <c:pt idx="277">
                  <c:v>22</c:v>
                </c:pt>
                <c:pt idx="278">
                  <c:v>59</c:v>
                </c:pt>
                <c:pt idx="279">
                  <c:v>51</c:v>
                </c:pt>
                <c:pt idx="280">
                  <c:v>40</c:v>
                </c:pt>
                <c:pt idx="281">
                  <c:v>54</c:v>
                </c:pt>
                <c:pt idx="282">
                  <c:v>30</c:v>
                </c:pt>
                <c:pt idx="283">
                  <c:v>55</c:v>
                </c:pt>
                <c:pt idx="284">
                  <c:v>52</c:v>
                </c:pt>
                <c:pt idx="285">
                  <c:v>46</c:v>
                </c:pt>
                <c:pt idx="286">
                  <c:v>46</c:v>
                </c:pt>
                <c:pt idx="287">
                  <c:v>63</c:v>
                </c:pt>
                <c:pt idx="288">
                  <c:v>59</c:v>
                </c:pt>
                <c:pt idx="289">
                  <c:v>52</c:v>
                </c:pt>
                <c:pt idx="290">
                  <c:v>28</c:v>
                </c:pt>
                <c:pt idx="291">
                  <c:v>29</c:v>
                </c:pt>
                <c:pt idx="292">
                  <c:v>25</c:v>
                </c:pt>
                <c:pt idx="293">
                  <c:v>22</c:v>
                </c:pt>
                <c:pt idx="294">
                  <c:v>25</c:v>
                </c:pt>
                <c:pt idx="295">
                  <c:v>18</c:v>
                </c:pt>
                <c:pt idx="296">
                  <c:v>19</c:v>
                </c:pt>
                <c:pt idx="297">
                  <c:v>47</c:v>
                </c:pt>
                <c:pt idx="298">
                  <c:v>31</c:v>
                </c:pt>
                <c:pt idx="299">
                  <c:v>48</c:v>
                </c:pt>
                <c:pt idx="300">
                  <c:v>36</c:v>
                </c:pt>
                <c:pt idx="301">
                  <c:v>53</c:v>
                </c:pt>
                <c:pt idx="302">
                  <c:v>56</c:v>
                </c:pt>
                <c:pt idx="303">
                  <c:v>28</c:v>
                </c:pt>
                <c:pt idx="304">
                  <c:v>57</c:v>
                </c:pt>
                <c:pt idx="305">
                  <c:v>29</c:v>
                </c:pt>
                <c:pt idx="306">
                  <c:v>28</c:v>
                </c:pt>
                <c:pt idx="307">
                  <c:v>30</c:v>
                </c:pt>
                <c:pt idx="308">
                  <c:v>58</c:v>
                </c:pt>
                <c:pt idx="309">
                  <c:v>41</c:v>
                </c:pt>
                <c:pt idx="310">
                  <c:v>50</c:v>
                </c:pt>
                <c:pt idx="311">
                  <c:v>19</c:v>
                </c:pt>
                <c:pt idx="312">
                  <c:v>43</c:v>
                </c:pt>
                <c:pt idx="313">
                  <c:v>49</c:v>
                </c:pt>
                <c:pt idx="314">
                  <c:v>27</c:v>
                </c:pt>
                <c:pt idx="315">
                  <c:v>52</c:v>
                </c:pt>
                <c:pt idx="316">
                  <c:v>50</c:v>
                </c:pt>
                <c:pt idx="317">
                  <c:v>54</c:v>
                </c:pt>
                <c:pt idx="318">
                  <c:v>44</c:v>
                </c:pt>
                <c:pt idx="319">
                  <c:v>32</c:v>
                </c:pt>
                <c:pt idx="320">
                  <c:v>34</c:v>
                </c:pt>
                <c:pt idx="321">
                  <c:v>26</c:v>
                </c:pt>
                <c:pt idx="322">
                  <c:v>34</c:v>
                </c:pt>
                <c:pt idx="323">
                  <c:v>57</c:v>
                </c:pt>
                <c:pt idx="324">
                  <c:v>29</c:v>
                </c:pt>
                <c:pt idx="325">
                  <c:v>40</c:v>
                </c:pt>
                <c:pt idx="326">
                  <c:v>27</c:v>
                </c:pt>
                <c:pt idx="327">
                  <c:v>45</c:v>
                </c:pt>
                <c:pt idx="328">
                  <c:v>64</c:v>
                </c:pt>
                <c:pt idx="329">
                  <c:v>52</c:v>
                </c:pt>
                <c:pt idx="330">
                  <c:v>61</c:v>
                </c:pt>
                <c:pt idx="331">
                  <c:v>52</c:v>
                </c:pt>
                <c:pt idx="332">
                  <c:v>61</c:v>
                </c:pt>
                <c:pt idx="333">
                  <c:v>56</c:v>
                </c:pt>
                <c:pt idx="334">
                  <c:v>43</c:v>
                </c:pt>
                <c:pt idx="335">
                  <c:v>64</c:v>
                </c:pt>
                <c:pt idx="336">
                  <c:v>60</c:v>
                </c:pt>
                <c:pt idx="337">
                  <c:v>62</c:v>
                </c:pt>
                <c:pt idx="338">
                  <c:v>50</c:v>
                </c:pt>
                <c:pt idx="339">
                  <c:v>46</c:v>
                </c:pt>
                <c:pt idx="340">
                  <c:v>24</c:v>
                </c:pt>
                <c:pt idx="341">
                  <c:v>62</c:v>
                </c:pt>
                <c:pt idx="342">
                  <c:v>60</c:v>
                </c:pt>
                <c:pt idx="343">
                  <c:v>63</c:v>
                </c:pt>
                <c:pt idx="344">
                  <c:v>49</c:v>
                </c:pt>
                <c:pt idx="345">
                  <c:v>34</c:v>
                </c:pt>
                <c:pt idx="346">
                  <c:v>33</c:v>
                </c:pt>
                <c:pt idx="347">
                  <c:v>46</c:v>
                </c:pt>
                <c:pt idx="348">
                  <c:v>36</c:v>
                </c:pt>
                <c:pt idx="349">
                  <c:v>19</c:v>
                </c:pt>
                <c:pt idx="350">
                  <c:v>57</c:v>
                </c:pt>
                <c:pt idx="351">
                  <c:v>50</c:v>
                </c:pt>
                <c:pt idx="352">
                  <c:v>30</c:v>
                </c:pt>
                <c:pt idx="353">
                  <c:v>33</c:v>
                </c:pt>
                <c:pt idx="354">
                  <c:v>18</c:v>
                </c:pt>
                <c:pt idx="355">
                  <c:v>46</c:v>
                </c:pt>
                <c:pt idx="356">
                  <c:v>46</c:v>
                </c:pt>
                <c:pt idx="357">
                  <c:v>47</c:v>
                </c:pt>
                <c:pt idx="358">
                  <c:v>23</c:v>
                </c:pt>
                <c:pt idx="359">
                  <c:v>18</c:v>
                </c:pt>
                <c:pt idx="360">
                  <c:v>48</c:v>
                </c:pt>
                <c:pt idx="361">
                  <c:v>35</c:v>
                </c:pt>
                <c:pt idx="362">
                  <c:v>19</c:v>
                </c:pt>
                <c:pt idx="363">
                  <c:v>21</c:v>
                </c:pt>
                <c:pt idx="364">
                  <c:v>21</c:v>
                </c:pt>
                <c:pt idx="365">
                  <c:v>49</c:v>
                </c:pt>
                <c:pt idx="366">
                  <c:v>56</c:v>
                </c:pt>
                <c:pt idx="367">
                  <c:v>42</c:v>
                </c:pt>
                <c:pt idx="368">
                  <c:v>44</c:v>
                </c:pt>
                <c:pt idx="369">
                  <c:v>18</c:v>
                </c:pt>
                <c:pt idx="370">
                  <c:v>61</c:v>
                </c:pt>
                <c:pt idx="371">
                  <c:v>57</c:v>
                </c:pt>
                <c:pt idx="372">
                  <c:v>42</c:v>
                </c:pt>
                <c:pt idx="373">
                  <c:v>26</c:v>
                </c:pt>
                <c:pt idx="374">
                  <c:v>20</c:v>
                </c:pt>
                <c:pt idx="375">
                  <c:v>23</c:v>
                </c:pt>
                <c:pt idx="376">
                  <c:v>39</c:v>
                </c:pt>
                <c:pt idx="377">
                  <c:v>24</c:v>
                </c:pt>
                <c:pt idx="378">
                  <c:v>64</c:v>
                </c:pt>
                <c:pt idx="379">
                  <c:v>62</c:v>
                </c:pt>
                <c:pt idx="380">
                  <c:v>27</c:v>
                </c:pt>
                <c:pt idx="381">
                  <c:v>55</c:v>
                </c:pt>
                <c:pt idx="382">
                  <c:v>55</c:v>
                </c:pt>
                <c:pt idx="383">
                  <c:v>35</c:v>
                </c:pt>
                <c:pt idx="384">
                  <c:v>44</c:v>
                </c:pt>
                <c:pt idx="385">
                  <c:v>19</c:v>
                </c:pt>
                <c:pt idx="386">
                  <c:v>58</c:v>
                </c:pt>
                <c:pt idx="387">
                  <c:v>50</c:v>
                </c:pt>
                <c:pt idx="388">
                  <c:v>26</c:v>
                </c:pt>
                <c:pt idx="389">
                  <c:v>24</c:v>
                </c:pt>
                <c:pt idx="390">
                  <c:v>48</c:v>
                </c:pt>
                <c:pt idx="391">
                  <c:v>19</c:v>
                </c:pt>
                <c:pt idx="392">
                  <c:v>48</c:v>
                </c:pt>
                <c:pt idx="393">
                  <c:v>49</c:v>
                </c:pt>
                <c:pt idx="394">
                  <c:v>46</c:v>
                </c:pt>
                <c:pt idx="395">
                  <c:v>46</c:v>
                </c:pt>
                <c:pt idx="396">
                  <c:v>43</c:v>
                </c:pt>
                <c:pt idx="397">
                  <c:v>21</c:v>
                </c:pt>
                <c:pt idx="398">
                  <c:v>64</c:v>
                </c:pt>
                <c:pt idx="399">
                  <c:v>18</c:v>
                </c:pt>
                <c:pt idx="400">
                  <c:v>51</c:v>
                </c:pt>
                <c:pt idx="401">
                  <c:v>47</c:v>
                </c:pt>
                <c:pt idx="402">
                  <c:v>64</c:v>
                </c:pt>
                <c:pt idx="403">
                  <c:v>49</c:v>
                </c:pt>
                <c:pt idx="404">
                  <c:v>31</c:v>
                </c:pt>
                <c:pt idx="405">
                  <c:v>52</c:v>
                </c:pt>
                <c:pt idx="406">
                  <c:v>33</c:v>
                </c:pt>
                <c:pt idx="407">
                  <c:v>47</c:v>
                </c:pt>
                <c:pt idx="408">
                  <c:v>38</c:v>
                </c:pt>
                <c:pt idx="409">
                  <c:v>32</c:v>
                </c:pt>
                <c:pt idx="410">
                  <c:v>19</c:v>
                </c:pt>
                <c:pt idx="411">
                  <c:v>44</c:v>
                </c:pt>
                <c:pt idx="412">
                  <c:v>26</c:v>
                </c:pt>
                <c:pt idx="413">
                  <c:v>25</c:v>
                </c:pt>
                <c:pt idx="414">
                  <c:v>19</c:v>
                </c:pt>
                <c:pt idx="415">
                  <c:v>43</c:v>
                </c:pt>
                <c:pt idx="416">
                  <c:v>52</c:v>
                </c:pt>
                <c:pt idx="417">
                  <c:v>36</c:v>
                </c:pt>
                <c:pt idx="418">
                  <c:v>64</c:v>
                </c:pt>
                <c:pt idx="419">
                  <c:v>63</c:v>
                </c:pt>
                <c:pt idx="420">
                  <c:v>64</c:v>
                </c:pt>
                <c:pt idx="421">
                  <c:v>61</c:v>
                </c:pt>
                <c:pt idx="422">
                  <c:v>40</c:v>
                </c:pt>
                <c:pt idx="423">
                  <c:v>25</c:v>
                </c:pt>
                <c:pt idx="424">
                  <c:v>48</c:v>
                </c:pt>
                <c:pt idx="425">
                  <c:v>45</c:v>
                </c:pt>
                <c:pt idx="426">
                  <c:v>38</c:v>
                </c:pt>
                <c:pt idx="427">
                  <c:v>18</c:v>
                </c:pt>
                <c:pt idx="428">
                  <c:v>21</c:v>
                </c:pt>
                <c:pt idx="429">
                  <c:v>27</c:v>
                </c:pt>
                <c:pt idx="430">
                  <c:v>19</c:v>
                </c:pt>
                <c:pt idx="431">
                  <c:v>29</c:v>
                </c:pt>
                <c:pt idx="432">
                  <c:v>42</c:v>
                </c:pt>
                <c:pt idx="433">
                  <c:v>60</c:v>
                </c:pt>
                <c:pt idx="434">
                  <c:v>31</c:v>
                </c:pt>
                <c:pt idx="435">
                  <c:v>60</c:v>
                </c:pt>
                <c:pt idx="436">
                  <c:v>22</c:v>
                </c:pt>
                <c:pt idx="437">
                  <c:v>35</c:v>
                </c:pt>
                <c:pt idx="438">
                  <c:v>52</c:v>
                </c:pt>
                <c:pt idx="439">
                  <c:v>26</c:v>
                </c:pt>
                <c:pt idx="440">
                  <c:v>31</c:v>
                </c:pt>
                <c:pt idx="441">
                  <c:v>33</c:v>
                </c:pt>
                <c:pt idx="442">
                  <c:v>18</c:v>
                </c:pt>
                <c:pt idx="443">
                  <c:v>59</c:v>
                </c:pt>
                <c:pt idx="444">
                  <c:v>56</c:v>
                </c:pt>
                <c:pt idx="445">
                  <c:v>45</c:v>
                </c:pt>
                <c:pt idx="446">
                  <c:v>60</c:v>
                </c:pt>
                <c:pt idx="447">
                  <c:v>56</c:v>
                </c:pt>
                <c:pt idx="448">
                  <c:v>40</c:v>
                </c:pt>
                <c:pt idx="449">
                  <c:v>35</c:v>
                </c:pt>
                <c:pt idx="450">
                  <c:v>39</c:v>
                </c:pt>
                <c:pt idx="451">
                  <c:v>30</c:v>
                </c:pt>
                <c:pt idx="452">
                  <c:v>24</c:v>
                </c:pt>
                <c:pt idx="453">
                  <c:v>20</c:v>
                </c:pt>
                <c:pt idx="454">
                  <c:v>32</c:v>
                </c:pt>
                <c:pt idx="455">
                  <c:v>59</c:v>
                </c:pt>
                <c:pt idx="456">
                  <c:v>55</c:v>
                </c:pt>
                <c:pt idx="457">
                  <c:v>57</c:v>
                </c:pt>
                <c:pt idx="458">
                  <c:v>56</c:v>
                </c:pt>
                <c:pt idx="459">
                  <c:v>40</c:v>
                </c:pt>
                <c:pt idx="460">
                  <c:v>49</c:v>
                </c:pt>
                <c:pt idx="461">
                  <c:v>42</c:v>
                </c:pt>
                <c:pt idx="462">
                  <c:v>62</c:v>
                </c:pt>
                <c:pt idx="463">
                  <c:v>56</c:v>
                </c:pt>
                <c:pt idx="464">
                  <c:v>19</c:v>
                </c:pt>
                <c:pt idx="465">
                  <c:v>30</c:v>
                </c:pt>
                <c:pt idx="466">
                  <c:v>60</c:v>
                </c:pt>
                <c:pt idx="467">
                  <c:v>56</c:v>
                </c:pt>
                <c:pt idx="468">
                  <c:v>28</c:v>
                </c:pt>
                <c:pt idx="469">
                  <c:v>18</c:v>
                </c:pt>
                <c:pt idx="470">
                  <c:v>27</c:v>
                </c:pt>
                <c:pt idx="471">
                  <c:v>18</c:v>
                </c:pt>
                <c:pt idx="472">
                  <c:v>19</c:v>
                </c:pt>
                <c:pt idx="473">
                  <c:v>47</c:v>
                </c:pt>
                <c:pt idx="474">
                  <c:v>54</c:v>
                </c:pt>
                <c:pt idx="475">
                  <c:v>61</c:v>
                </c:pt>
                <c:pt idx="476">
                  <c:v>24</c:v>
                </c:pt>
                <c:pt idx="477">
                  <c:v>25</c:v>
                </c:pt>
                <c:pt idx="478">
                  <c:v>21</c:v>
                </c:pt>
                <c:pt idx="479">
                  <c:v>23</c:v>
                </c:pt>
                <c:pt idx="480">
                  <c:v>63</c:v>
                </c:pt>
                <c:pt idx="481">
                  <c:v>49</c:v>
                </c:pt>
                <c:pt idx="482">
                  <c:v>18</c:v>
                </c:pt>
                <c:pt idx="483">
                  <c:v>51</c:v>
                </c:pt>
                <c:pt idx="484">
                  <c:v>48</c:v>
                </c:pt>
                <c:pt idx="485">
                  <c:v>31</c:v>
                </c:pt>
                <c:pt idx="486">
                  <c:v>54</c:v>
                </c:pt>
                <c:pt idx="487">
                  <c:v>19</c:v>
                </c:pt>
                <c:pt idx="488">
                  <c:v>44</c:v>
                </c:pt>
                <c:pt idx="489">
                  <c:v>53</c:v>
                </c:pt>
                <c:pt idx="490">
                  <c:v>19</c:v>
                </c:pt>
                <c:pt idx="491">
                  <c:v>61</c:v>
                </c:pt>
                <c:pt idx="492">
                  <c:v>18</c:v>
                </c:pt>
                <c:pt idx="493">
                  <c:v>61</c:v>
                </c:pt>
                <c:pt idx="494">
                  <c:v>21</c:v>
                </c:pt>
                <c:pt idx="495">
                  <c:v>20</c:v>
                </c:pt>
                <c:pt idx="496">
                  <c:v>31</c:v>
                </c:pt>
                <c:pt idx="497">
                  <c:v>45</c:v>
                </c:pt>
                <c:pt idx="498">
                  <c:v>44</c:v>
                </c:pt>
                <c:pt idx="499">
                  <c:v>62</c:v>
                </c:pt>
                <c:pt idx="500">
                  <c:v>29</c:v>
                </c:pt>
                <c:pt idx="501">
                  <c:v>43</c:v>
                </c:pt>
                <c:pt idx="502">
                  <c:v>51</c:v>
                </c:pt>
                <c:pt idx="503">
                  <c:v>19</c:v>
                </c:pt>
                <c:pt idx="504">
                  <c:v>38</c:v>
                </c:pt>
                <c:pt idx="505">
                  <c:v>37</c:v>
                </c:pt>
                <c:pt idx="506">
                  <c:v>22</c:v>
                </c:pt>
                <c:pt idx="507">
                  <c:v>21</c:v>
                </c:pt>
                <c:pt idx="508">
                  <c:v>24</c:v>
                </c:pt>
                <c:pt idx="509">
                  <c:v>57</c:v>
                </c:pt>
                <c:pt idx="510">
                  <c:v>56</c:v>
                </c:pt>
                <c:pt idx="511">
                  <c:v>27</c:v>
                </c:pt>
                <c:pt idx="512">
                  <c:v>51</c:v>
                </c:pt>
                <c:pt idx="513">
                  <c:v>19</c:v>
                </c:pt>
                <c:pt idx="514">
                  <c:v>39</c:v>
                </c:pt>
                <c:pt idx="515">
                  <c:v>58</c:v>
                </c:pt>
                <c:pt idx="516">
                  <c:v>20</c:v>
                </c:pt>
                <c:pt idx="517">
                  <c:v>45</c:v>
                </c:pt>
                <c:pt idx="518">
                  <c:v>35</c:v>
                </c:pt>
                <c:pt idx="519">
                  <c:v>31</c:v>
                </c:pt>
                <c:pt idx="520">
                  <c:v>50</c:v>
                </c:pt>
                <c:pt idx="521">
                  <c:v>32</c:v>
                </c:pt>
                <c:pt idx="522">
                  <c:v>51</c:v>
                </c:pt>
                <c:pt idx="523">
                  <c:v>38</c:v>
                </c:pt>
                <c:pt idx="524">
                  <c:v>42</c:v>
                </c:pt>
                <c:pt idx="525">
                  <c:v>18</c:v>
                </c:pt>
                <c:pt idx="526">
                  <c:v>19</c:v>
                </c:pt>
                <c:pt idx="527">
                  <c:v>51</c:v>
                </c:pt>
                <c:pt idx="528">
                  <c:v>46</c:v>
                </c:pt>
                <c:pt idx="529">
                  <c:v>18</c:v>
                </c:pt>
                <c:pt idx="530">
                  <c:v>57</c:v>
                </c:pt>
                <c:pt idx="531">
                  <c:v>62</c:v>
                </c:pt>
                <c:pt idx="532">
                  <c:v>59</c:v>
                </c:pt>
                <c:pt idx="533">
                  <c:v>37</c:v>
                </c:pt>
                <c:pt idx="534">
                  <c:v>64</c:v>
                </c:pt>
                <c:pt idx="535">
                  <c:v>38</c:v>
                </c:pt>
                <c:pt idx="536">
                  <c:v>33</c:v>
                </c:pt>
                <c:pt idx="537">
                  <c:v>46</c:v>
                </c:pt>
                <c:pt idx="538">
                  <c:v>46</c:v>
                </c:pt>
                <c:pt idx="539">
                  <c:v>53</c:v>
                </c:pt>
                <c:pt idx="540">
                  <c:v>34</c:v>
                </c:pt>
                <c:pt idx="541">
                  <c:v>20</c:v>
                </c:pt>
                <c:pt idx="542">
                  <c:v>63</c:v>
                </c:pt>
                <c:pt idx="543">
                  <c:v>54</c:v>
                </c:pt>
                <c:pt idx="544">
                  <c:v>54</c:v>
                </c:pt>
                <c:pt idx="545">
                  <c:v>49</c:v>
                </c:pt>
                <c:pt idx="546">
                  <c:v>28</c:v>
                </c:pt>
                <c:pt idx="547">
                  <c:v>54</c:v>
                </c:pt>
                <c:pt idx="548">
                  <c:v>25</c:v>
                </c:pt>
                <c:pt idx="549">
                  <c:v>43</c:v>
                </c:pt>
                <c:pt idx="550">
                  <c:v>63</c:v>
                </c:pt>
                <c:pt idx="551">
                  <c:v>32</c:v>
                </c:pt>
                <c:pt idx="552">
                  <c:v>62</c:v>
                </c:pt>
                <c:pt idx="553">
                  <c:v>52</c:v>
                </c:pt>
                <c:pt idx="554">
                  <c:v>25</c:v>
                </c:pt>
                <c:pt idx="555">
                  <c:v>28</c:v>
                </c:pt>
                <c:pt idx="556">
                  <c:v>46</c:v>
                </c:pt>
                <c:pt idx="557">
                  <c:v>34</c:v>
                </c:pt>
                <c:pt idx="558">
                  <c:v>35</c:v>
                </c:pt>
                <c:pt idx="559">
                  <c:v>19</c:v>
                </c:pt>
                <c:pt idx="560">
                  <c:v>46</c:v>
                </c:pt>
                <c:pt idx="561">
                  <c:v>54</c:v>
                </c:pt>
                <c:pt idx="562">
                  <c:v>27</c:v>
                </c:pt>
                <c:pt idx="563">
                  <c:v>50</c:v>
                </c:pt>
                <c:pt idx="564">
                  <c:v>18</c:v>
                </c:pt>
                <c:pt idx="565">
                  <c:v>19</c:v>
                </c:pt>
                <c:pt idx="566">
                  <c:v>38</c:v>
                </c:pt>
                <c:pt idx="567">
                  <c:v>41</c:v>
                </c:pt>
                <c:pt idx="568">
                  <c:v>49</c:v>
                </c:pt>
                <c:pt idx="569">
                  <c:v>48</c:v>
                </c:pt>
                <c:pt idx="570">
                  <c:v>31</c:v>
                </c:pt>
                <c:pt idx="571">
                  <c:v>18</c:v>
                </c:pt>
                <c:pt idx="572">
                  <c:v>30</c:v>
                </c:pt>
                <c:pt idx="573">
                  <c:v>62</c:v>
                </c:pt>
                <c:pt idx="574">
                  <c:v>57</c:v>
                </c:pt>
                <c:pt idx="575">
                  <c:v>58</c:v>
                </c:pt>
                <c:pt idx="576">
                  <c:v>22</c:v>
                </c:pt>
                <c:pt idx="577">
                  <c:v>31</c:v>
                </c:pt>
                <c:pt idx="578">
                  <c:v>52</c:v>
                </c:pt>
                <c:pt idx="579">
                  <c:v>25</c:v>
                </c:pt>
                <c:pt idx="580">
                  <c:v>59</c:v>
                </c:pt>
                <c:pt idx="581">
                  <c:v>19</c:v>
                </c:pt>
                <c:pt idx="582">
                  <c:v>39</c:v>
                </c:pt>
                <c:pt idx="583">
                  <c:v>32</c:v>
                </c:pt>
                <c:pt idx="584">
                  <c:v>19</c:v>
                </c:pt>
                <c:pt idx="585">
                  <c:v>33</c:v>
                </c:pt>
                <c:pt idx="586">
                  <c:v>21</c:v>
                </c:pt>
                <c:pt idx="587">
                  <c:v>34</c:v>
                </c:pt>
                <c:pt idx="588">
                  <c:v>61</c:v>
                </c:pt>
                <c:pt idx="589">
                  <c:v>38</c:v>
                </c:pt>
                <c:pt idx="590">
                  <c:v>58</c:v>
                </c:pt>
                <c:pt idx="591">
                  <c:v>47</c:v>
                </c:pt>
                <c:pt idx="592">
                  <c:v>20</c:v>
                </c:pt>
                <c:pt idx="593">
                  <c:v>21</c:v>
                </c:pt>
                <c:pt idx="594">
                  <c:v>41</c:v>
                </c:pt>
                <c:pt idx="595">
                  <c:v>46</c:v>
                </c:pt>
                <c:pt idx="596">
                  <c:v>42</c:v>
                </c:pt>
                <c:pt idx="597">
                  <c:v>34</c:v>
                </c:pt>
                <c:pt idx="598">
                  <c:v>43</c:v>
                </c:pt>
                <c:pt idx="599">
                  <c:v>52</c:v>
                </c:pt>
                <c:pt idx="600">
                  <c:v>18</c:v>
                </c:pt>
                <c:pt idx="601">
                  <c:v>51</c:v>
                </c:pt>
                <c:pt idx="602">
                  <c:v>56</c:v>
                </c:pt>
                <c:pt idx="603">
                  <c:v>64</c:v>
                </c:pt>
                <c:pt idx="604">
                  <c:v>19</c:v>
                </c:pt>
                <c:pt idx="605">
                  <c:v>51</c:v>
                </c:pt>
                <c:pt idx="606">
                  <c:v>27</c:v>
                </c:pt>
                <c:pt idx="607">
                  <c:v>59</c:v>
                </c:pt>
                <c:pt idx="608">
                  <c:v>28</c:v>
                </c:pt>
                <c:pt idx="609">
                  <c:v>30</c:v>
                </c:pt>
                <c:pt idx="610">
                  <c:v>47</c:v>
                </c:pt>
                <c:pt idx="611">
                  <c:v>38</c:v>
                </c:pt>
                <c:pt idx="612">
                  <c:v>18</c:v>
                </c:pt>
                <c:pt idx="613">
                  <c:v>34</c:v>
                </c:pt>
                <c:pt idx="614">
                  <c:v>20</c:v>
                </c:pt>
                <c:pt idx="615">
                  <c:v>47</c:v>
                </c:pt>
                <c:pt idx="616">
                  <c:v>56</c:v>
                </c:pt>
                <c:pt idx="617">
                  <c:v>49</c:v>
                </c:pt>
                <c:pt idx="618">
                  <c:v>19</c:v>
                </c:pt>
                <c:pt idx="619">
                  <c:v>55</c:v>
                </c:pt>
                <c:pt idx="620">
                  <c:v>30</c:v>
                </c:pt>
                <c:pt idx="621">
                  <c:v>37</c:v>
                </c:pt>
                <c:pt idx="622">
                  <c:v>49</c:v>
                </c:pt>
                <c:pt idx="623">
                  <c:v>18</c:v>
                </c:pt>
                <c:pt idx="624">
                  <c:v>59</c:v>
                </c:pt>
                <c:pt idx="625">
                  <c:v>29</c:v>
                </c:pt>
                <c:pt idx="626">
                  <c:v>36</c:v>
                </c:pt>
                <c:pt idx="627">
                  <c:v>33</c:v>
                </c:pt>
                <c:pt idx="628">
                  <c:v>58</c:v>
                </c:pt>
                <c:pt idx="629">
                  <c:v>44</c:v>
                </c:pt>
                <c:pt idx="630">
                  <c:v>53</c:v>
                </c:pt>
                <c:pt idx="631">
                  <c:v>24</c:v>
                </c:pt>
                <c:pt idx="632">
                  <c:v>29</c:v>
                </c:pt>
                <c:pt idx="633">
                  <c:v>40</c:v>
                </c:pt>
                <c:pt idx="634">
                  <c:v>51</c:v>
                </c:pt>
                <c:pt idx="635">
                  <c:v>64</c:v>
                </c:pt>
                <c:pt idx="636">
                  <c:v>19</c:v>
                </c:pt>
                <c:pt idx="637">
                  <c:v>35</c:v>
                </c:pt>
                <c:pt idx="638">
                  <c:v>39</c:v>
                </c:pt>
                <c:pt idx="639">
                  <c:v>56</c:v>
                </c:pt>
                <c:pt idx="640">
                  <c:v>33</c:v>
                </c:pt>
                <c:pt idx="641">
                  <c:v>42</c:v>
                </c:pt>
                <c:pt idx="642">
                  <c:v>61</c:v>
                </c:pt>
                <c:pt idx="643">
                  <c:v>23</c:v>
                </c:pt>
                <c:pt idx="644">
                  <c:v>43</c:v>
                </c:pt>
                <c:pt idx="645">
                  <c:v>48</c:v>
                </c:pt>
                <c:pt idx="646">
                  <c:v>39</c:v>
                </c:pt>
                <c:pt idx="647">
                  <c:v>40</c:v>
                </c:pt>
                <c:pt idx="648">
                  <c:v>18</c:v>
                </c:pt>
                <c:pt idx="649">
                  <c:v>58</c:v>
                </c:pt>
                <c:pt idx="650">
                  <c:v>49</c:v>
                </c:pt>
                <c:pt idx="651">
                  <c:v>53</c:v>
                </c:pt>
                <c:pt idx="652">
                  <c:v>48</c:v>
                </c:pt>
                <c:pt idx="653">
                  <c:v>45</c:v>
                </c:pt>
                <c:pt idx="654">
                  <c:v>59</c:v>
                </c:pt>
                <c:pt idx="655">
                  <c:v>52</c:v>
                </c:pt>
                <c:pt idx="656">
                  <c:v>26</c:v>
                </c:pt>
                <c:pt idx="657">
                  <c:v>27</c:v>
                </c:pt>
                <c:pt idx="658">
                  <c:v>48</c:v>
                </c:pt>
                <c:pt idx="659">
                  <c:v>57</c:v>
                </c:pt>
                <c:pt idx="660">
                  <c:v>37</c:v>
                </c:pt>
                <c:pt idx="661">
                  <c:v>57</c:v>
                </c:pt>
                <c:pt idx="662">
                  <c:v>32</c:v>
                </c:pt>
                <c:pt idx="663">
                  <c:v>18</c:v>
                </c:pt>
                <c:pt idx="664">
                  <c:v>64</c:v>
                </c:pt>
                <c:pt idx="665">
                  <c:v>43</c:v>
                </c:pt>
                <c:pt idx="666">
                  <c:v>49</c:v>
                </c:pt>
                <c:pt idx="667">
                  <c:v>40</c:v>
                </c:pt>
                <c:pt idx="668">
                  <c:v>62</c:v>
                </c:pt>
                <c:pt idx="669">
                  <c:v>40</c:v>
                </c:pt>
                <c:pt idx="670">
                  <c:v>30</c:v>
                </c:pt>
                <c:pt idx="671">
                  <c:v>29</c:v>
                </c:pt>
                <c:pt idx="672">
                  <c:v>36</c:v>
                </c:pt>
                <c:pt idx="673">
                  <c:v>41</c:v>
                </c:pt>
                <c:pt idx="674">
                  <c:v>44</c:v>
                </c:pt>
                <c:pt idx="675">
                  <c:v>45</c:v>
                </c:pt>
                <c:pt idx="676">
                  <c:v>55</c:v>
                </c:pt>
                <c:pt idx="677">
                  <c:v>60</c:v>
                </c:pt>
                <c:pt idx="678">
                  <c:v>56</c:v>
                </c:pt>
                <c:pt idx="679">
                  <c:v>49</c:v>
                </c:pt>
                <c:pt idx="680">
                  <c:v>21</c:v>
                </c:pt>
                <c:pt idx="681">
                  <c:v>19</c:v>
                </c:pt>
                <c:pt idx="682">
                  <c:v>39</c:v>
                </c:pt>
                <c:pt idx="683">
                  <c:v>53</c:v>
                </c:pt>
                <c:pt idx="684">
                  <c:v>33</c:v>
                </c:pt>
                <c:pt idx="685">
                  <c:v>53</c:v>
                </c:pt>
                <c:pt idx="686">
                  <c:v>42</c:v>
                </c:pt>
                <c:pt idx="687">
                  <c:v>40</c:v>
                </c:pt>
                <c:pt idx="688">
                  <c:v>47</c:v>
                </c:pt>
                <c:pt idx="689">
                  <c:v>27</c:v>
                </c:pt>
                <c:pt idx="690">
                  <c:v>21</c:v>
                </c:pt>
                <c:pt idx="691">
                  <c:v>47</c:v>
                </c:pt>
                <c:pt idx="692">
                  <c:v>20</c:v>
                </c:pt>
                <c:pt idx="693">
                  <c:v>24</c:v>
                </c:pt>
                <c:pt idx="694">
                  <c:v>27</c:v>
                </c:pt>
                <c:pt idx="695">
                  <c:v>26</c:v>
                </c:pt>
                <c:pt idx="696">
                  <c:v>53</c:v>
                </c:pt>
                <c:pt idx="697">
                  <c:v>41</c:v>
                </c:pt>
                <c:pt idx="698">
                  <c:v>56</c:v>
                </c:pt>
                <c:pt idx="699">
                  <c:v>23</c:v>
                </c:pt>
                <c:pt idx="700">
                  <c:v>21</c:v>
                </c:pt>
                <c:pt idx="701">
                  <c:v>50</c:v>
                </c:pt>
                <c:pt idx="702">
                  <c:v>53</c:v>
                </c:pt>
                <c:pt idx="703">
                  <c:v>34</c:v>
                </c:pt>
                <c:pt idx="704">
                  <c:v>47</c:v>
                </c:pt>
                <c:pt idx="705">
                  <c:v>33</c:v>
                </c:pt>
                <c:pt idx="706">
                  <c:v>51</c:v>
                </c:pt>
                <c:pt idx="707">
                  <c:v>49</c:v>
                </c:pt>
                <c:pt idx="708">
                  <c:v>31</c:v>
                </c:pt>
                <c:pt idx="709">
                  <c:v>36</c:v>
                </c:pt>
                <c:pt idx="710">
                  <c:v>18</c:v>
                </c:pt>
                <c:pt idx="711">
                  <c:v>50</c:v>
                </c:pt>
                <c:pt idx="712">
                  <c:v>43</c:v>
                </c:pt>
                <c:pt idx="713">
                  <c:v>20</c:v>
                </c:pt>
                <c:pt idx="714">
                  <c:v>24</c:v>
                </c:pt>
                <c:pt idx="715">
                  <c:v>60</c:v>
                </c:pt>
                <c:pt idx="716">
                  <c:v>49</c:v>
                </c:pt>
                <c:pt idx="717">
                  <c:v>60</c:v>
                </c:pt>
                <c:pt idx="718">
                  <c:v>51</c:v>
                </c:pt>
                <c:pt idx="719">
                  <c:v>58</c:v>
                </c:pt>
                <c:pt idx="720">
                  <c:v>51</c:v>
                </c:pt>
                <c:pt idx="721">
                  <c:v>53</c:v>
                </c:pt>
                <c:pt idx="722">
                  <c:v>62</c:v>
                </c:pt>
                <c:pt idx="723">
                  <c:v>19</c:v>
                </c:pt>
                <c:pt idx="724">
                  <c:v>50</c:v>
                </c:pt>
                <c:pt idx="725">
                  <c:v>30</c:v>
                </c:pt>
                <c:pt idx="726">
                  <c:v>41</c:v>
                </c:pt>
                <c:pt idx="727">
                  <c:v>29</c:v>
                </c:pt>
                <c:pt idx="728">
                  <c:v>18</c:v>
                </c:pt>
                <c:pt idx="729">
                  <c:v>41</c:v>
                </c:pt>
                <c:pt idx="730">
                  <c:v>35</c:v>
                </c:pt>
                <c:pt idx="731">
                  <c:v>53</c:v>
                </c:pt>
                <c:pt idx="732">
                  <c:v>24</c:v>
                </c:pt>
                <c:pt idx="733">
                  <c:v>48</c:v>
                </c:pt>
                <c:pt idx="734">
                  <c:v>59</c:v>
                </c:pt>
                <c:pt idx="735">
                  <c:v>49</c:v>
                </c:pt>
                <c:pt idx="736">
                  <c:v>37</c:v>
                </c:pt>
                <c:pt idx="737">
                  <c:v>26</c:v>
                </c:pt>
                <c:pt idx="738">
                  <c:v>23</c:v>
                </c:pt>
                <c:pt idx="739">
                  <c:v>29</c:v>
                </c:pt>
                <c:pt idx="740">
                  <c:v>45</c:v>
                </c:pt>
                <c:pt idx="741">
                  <c:v>27</c:v>
                </c:pt>
                <c:pt idx="742">
                  <c:v>53</c:v>
                </c:pt>
                <c:pt idx="743">
                  <c:v>31</c:v>
                </c:pt>
                <c:pt idx="744">
                  <c:v>50</c:v>
                </c:pt>
                <c:pt idx="745">
                  <c:v>50</c:v>
                </c:pt>
                <c:pt idx="746">
                  <c:v>34</c:v>
                </c:pt>
                <c:pt idx="747">
                  <c:v>19</c:v>
                </c:pt>
                <c:pt idx="748">
                  <c:v>47</c:v>
                </c:pt>
                <c:pt idx="749">
                  <c:v>28</c:v>
                </c:pt>
                <c:pt idx="750">
                  <c:v>37</c:v>
                </c:pt>
                <c:pt idx="751">
                  <c:v>21</c:v>
                </c:pt>
                <c:pt idx="752">
                  <c:v>64</c:v>
                </c:pt>
                <c:pt idx="753">
                  <c:v>58</c:v>
                </c:pt>
                <c:pt idx="754">
                  <c:v>24</c:v>
                </c:pt>
                <c:pt idx="755">
                  <c:v>31</c:v>
                </c:pt>
                <c:pt idx="756">
                  <c:v>39</c:v>
                </c:pt>
                <c:pt idx="757">
                  <c:v>47</c:v>
                </c:pt>
                <c:pt idx="758">
                  <c:v>30</c:v>
                </c:pt>
                <c:pt idx="759">
                  <c:v>18</c:v>
                </c:pt>
                <c:pt idx="760">
                  <c:v>22</c:v>
                </c:pt>
                <c:pt idx="761">
                  <c:v>23</c:v>
                </c:pt>
                <c:pt idx="762">
                  <c:v>33</c:v>
                </c:pt>
                <c:pt idx="763">
                  <c:v>27</c:v>
                </c:pt>
                <c:pt idx="764">
                  <c:v>45</c:v>
                </c:pt>
                <c:pt idx="765">
                  <c:v>57</c:v>
                </c:pt>
                <c:pt idx="766">
                  <c:v>47</c:v>
                </c:pt>
                <c:pt idx="767">
                  <c:v>42</c:v>
                </c:pt>
                <c:pt idx="768">
                  <c:v>64</c:v>
                </c:pt>
                <c:pt idx="769">
                  <c:v>38</c:v>
                </c:pt>
                <c:pt idx="770">
                  <c:v>61</c:v>
                </c:pt>
                <c:pt idx="771">
                  <c:v>53</c:v>
                </c:pt>
                <c:pt idx="772">
                  <c:v>44</c:v>
                </c:pt>
                <c:pt idx="773">
                  <c:v>19</c:v>
                </c:pt>
                <c:pt idx="774">
                  <c:v>41</c:v>
                </c:pt>
                <c:pt idx="775">
                  <c:v>51</c:v>
                </c:pt>
                <c:pt idx="776">
                  <c:v>40</c:v>
                </c:pt>
                <c:pt idx="777">
                  <c:v>45</c:v>
                </c:pt>
                <c:pt idx="778">
                  <c:v>35</c:v>
                </c:pt>
                <c:pt idx="779">
                  <c:v>53</c:v>
                </c:pt>
                <c:pt idx="780">
                  <c:v>30</c:v>
                </c:pt>
                <c:pt idx="781">
                  <c:v>18</c:v>
                </c:pt>
                <c:pt idx="782">
                  <c:v>51</c:v>
                </c:pt>
                <c:pt idx="783">
                  <c:v>50</c:v>
                </c:pt>
                <c:pt idx="784">
                  <c:v>31</c:v>
                </c:pt>
                <c:pt idx="785">
                  <c:v>35</c:v>
                </c:pt>
                <c:pt idx="786">
                  <c:v>60</c:v>
                </c:pt>
                <c:pt idx="787">
                  <c:v>21</c:v>
                </c:pt>
                <c:pt idx="788">
                  <c:v>29</c:v>
                </c:pt>
                <c:pt idx="789">
                  <c:v>62</c:v>
                </c:pt>
                <c:pt idx="790">
                  <c:v>39</c:v>
                </c:pt>
                <c:pt idx="791">
                  <c:v>19</c:v>
                </c:pt>
                <c:pt idx="792">
                  <c:v>22</c:v>
                </c:pt>
                <c:pt idx="793">
                  <c:v>53</c:v>
                </c:pt>
                <c:pt idx="794">
                  <c:v>39</c:v>
                </c:pt>
                <c:pt idx="795">
                  <c:v>27</c:v>
                </c:pt>
                <c:pt idx="796">
                  <c:v>30</c:v>
                </c:pt>
                <c:pt idx="797">
                  <c:v>30</c:v>
                </c:pt>
                <c:pt idx="798">
                  <c:v>58</c:v>
                </c:pt>
                <c:pt idx="799">
                  <c:v>33</c:v>
                </c:pt>
                <c:pt idx="800">
                  <c:v>42</c:v>
                </c:pt>
                <c:pt idx="801">
                  <c:v>64</c:v>
                </c:pt>
                <c:pt idx="802">
                  <c:v>21</c:v>
                </c:pt>
                <c:pt idx="803">
                  <c:v>18</c:v>
                </c:pt>
                <c:pt idx="804">
                  <c:v>23</c:v>
                </c:pt>
                <c:pt idx="805">
                  <c:v>45</c:v>
                </c:pt>
                <c:pt idx="806">
                  <c:v>40</c:v>
                </c:pt>
                <c:pt idx="807">
                  <c:v>19</c:v>
                </c:pt>
                <c:pt idx="808">
                  <c:v>18</c:v>
                </c:pt>
                <c:pt idx="809">
                  <c:v>25</c:v>
                </c:pt>
                <c:pt idx="810">
                  <c:v>46</c:v>
                </c:pt>
                <c:pt idx="811">
                  <c:v>33</c:v>
                </c:pt>
                <c:pt idx="812">
                  <c:v>54</c:v>
                </c:pt>
                <c:pt idx="813">
                  <c:v>28</c:v>
                </c:pt>
                <c:pt idx="814">
                  <c:v>36</c:v>
                </c:pt>
                <c:pt idx="815">
                  <c:v>20</c:v>
                </c:pt>
                <c:pt idx="816">
                  <c:v>24</c:v>
                </c:pt>
                <c:pt idx="817">
                  <c:v>23</c:v>
                </c:pt>
                <c:pt idx="818">
                  <c:v>47</c:v>
                </c:pt>
                <c:pt idx="819">
                  <c:v>33</c:v>
                </c:pt>
                <c:pt idx="820">
                  <c:v>45</c:v>
                </c:pt>
                <c:pt idx="821">
                  <c:v>26</c:v>
                </c:pt>
                <c:pt idx="822">
                  <c:v>18</c:v>
                </c:pt>
                <c:pt idx="823">
                  <c:v>44</c:v>
                </c:pt>
                <c:pt idx="824">
                  <c:v>60</c:v>
                </c:pt>
                <c:pt idx="825">
                  <c:v>64</c:v>
                </c:pt>
                <c:pt idx="826">
                  <c:v>56</c:v>
                </c:pt>
                <c:pt idx="827">
                  <c:v>36</c:v>
                </c:pt>
                <c:pt idx="828">
                  <c:v>41</c:v>
                </c:pt>
                <c:pt idx="829">
                  <c:v>39</c:v>
                </c:pt>
                <c:pt idx="830">
                  <c:v>63</c:v>
                </c:pt>
                <c:pt idx="831">
                  <c:v>36</c:v>
                </c:pt>
                <c:pt idx="832">
                  <c:v>28</c:v>
                </c:pt>
                <c:pt idx="833">
                  <c:v>58</c:v>
                </c:pt>
                <c:pt idx="834">
                  <c:v>36</c:v>
                </c:pt>
                <c:pt idx="835">
                  <c:v>42</c:v>
                </c:pt>
                <c:pt idx="836">
                  <c:v>36</c:v>
                </c:pt>
                <c:pt idx="837">
                  <c:v>56</c:v>
                </c:pt>
                <c:pt idx="838">
                  <c:v>35</c:v>
                </c:pt>
                <c:pt idx="839">
                  <c:v>59</c:v>
                </c:pt>
                <c:pt idx="840">
                  <c:v>21</c:v>
                </c:pt>
                <c:pt idx="841">
                  <c:v>59</c:v>
                </c:pt>
                <c:pt idx="842">
                  <c:v>23</c:v>
                </c:pt>
                <c:pt idx="843">
                  <c:v>57</c:v>
                </c:pt>
                <c:pt idx="844">
                  <c:v>53</c:v>
                </c:pt>
                <c:pt idx="845">
                  <c:v>60</c:v>
                </c:pt>
                <c:pt idx="846">
                  <c:v>51</c:v>
                </c:pt>
                <c:pt idx="847">
                  <c:v>23</c:v>
                </c:pt>
                <c:pt idx="848">
                  <c:v>27</c:v>
                </c:pt>
                <c:pt idx="849">
                  <c:v>55</c:v>
                </c:pt>
                <c:pt idx="850">
                  <c:v>37</c:v>
                </c:pt>
                <c:pt idx="851">
                  <c:v>61</c:v>
                </c:pt>
                <c:pt idx="852">
                  <c:v>46</c:v>
                </c:pt>
                <c:pt idx="853">
                  <c:v>53</c:v>
                </c:pt>
                <c:pt idx="854">
                  <c:v>49</c:v>
                </c:pt>
                <c:pt idx="855">
                  <c:v>20</c:v>
                </c:pt>
                <c:pt idx="856">
                  <c:v>48</c:v>
                </c:pt>
                <c:pt idx="857">
                  <c:v>25</c:v>
                </c:pt>
                <c:pt idx="858">
                  <c:v>25</c:v>
                </c:pt>
                <c:pt idx="859">
                  <c:v>57</c:v>
                </c:pt>
                <c:pt idx="860">
                  <c:v>37</c:v>
                </c:pt>
                <c:pt idx="861">
                  <c:v>38</c:v>
                </c:pt>
                <c:pt idx="862">
                  <c:v>55</c:v>
                </c:pt>
                <c:pt idx="863">
                  <c:v>36</c:v>
                </c:pt>
                <c:pt idx="864">
                  <c:v>51</c:v>
                </c:pt>
                <c:pt idx="865">
                  <c:v>40</c:v>
                </c:pt>
                <c:pt idx="866">
                  <c:v>18</c:v>
                </c:pt>
                <c:pt idx="867">
                  <c:v>57</c:v>
                </c:pt>
                <c:pt idx="868">
                  <c:v>61</c:v>
                </c:pt>
                <c:pt idx="869">
                  <c:v>25</c:v>
                </c:pt>
                <c:pt idx="870">
                  <c:v>50</c:v>
                </c:pt>
                <c:pt idx="871">
                  <c:v>26</c:v>
                </c:pt>
                <c:pt idx="872">
                  <c:v>42</c:v>
                </c:pt>
                <c:pt idx="873">
                  <c:v>43</c:v>
                </c:pt>
                <c:pt idx="874">
                  <c:v>44</c:v>
                </c:pt>
                <c:pt idx="875">
                  <c:v>23</c:v>
                </c:pt>
                <c:pt idx="876">
                  <c:v>49</c:v>
                </c:pt>
                <c:pt idx="877">
                  <c:v>33</c:v>
                </c:pt>
                <c:pt idx="878">
                  <c:v>41</c:v>
                </c:pt>
                <c:pt idx="879">
                  <c:v>37</c:v>
                </c:pt>
                <c:pt idx="880">
                  <c:v>22</c:v>
                </c:pt>
                <c:pt idx="881">
                  <c:v>23</c:v>
                </c:pt>
                <c:pt idx="882">
                  <c:v>21</c:v>
                </c:pt>
                <c:pt idx="883">
                  <c:v>51</c:v>
                </c:pt>
                <c:pt idx="884">
                  <c:v>25</c:v>
                </c:pt>
                <c:pt idx="885">
                  <c:v>32</c:v>
                </c:pt>
                <c:pt idx="886">
                  <c:v>57</c:v>
                </c:pt>
                <c:pt idx="887">
                  <c:v>36</c:v>
                </c:pt>
                <c:pt idx="888">
                  <c:v>22</c:v>
                </c:pt>
                <c:pt idx="889">
                  <c:v>57</c:v>
                </c:pt>
                <c:pt idx="890">
                  <c:v>64</c:v>
                </c:pt>
                <c:pt idx="891">
                  <c:v>36</c:v>
                </c:pt>
                <c:pt idx="892">
                  <c:v>54</c:v>
                </c:pt>
                <c:pt idx="893">
                  <c:v>47</c:v>
                </c:pt>
                <c:pt idx="894">
                  <c:v>62</c:v>
                </c:pt>
                <c:pt idx="895">
                  <c:v>61</c:v>
                </c:pt>
                <c:pt idx="896">
                  <c:v>43</c:v>
                </c:pt>
                <c:pt idx="897">
                  <c:v>19</c:v>
                </c:pt>
                <c:pt idx="898">
                  <c:v>18</c:v>
                </c:pt>
                <c:pt idx="899">
                  <c:v>19</c:v>
                </c:pt>
                <c:pt idx="900">
                  <c:v>49</c:v>
                </c:pt>
                <c:pt idx="901">
                  <c:v>60</c:v>
                </c:pt>
                <c:pt idx="902">
                  <c:v>26</c:v>
                </c:pt>
                <c:pt idx="903">
                  <c:v>49</c:v>
                </c:pt>
                <c:pt idx="904">
                  <c:v>60</c:v>
                </c:pt>
                <c:pt idx="905">
                  <c:v>26</c:v>
                </c:pt>
                <c:pt idx="906">
                  <c:v>27</c:v>
                </c:pt>
                <c:pt idx="907">
                  <c:v>44</c:v>
                </c:pt>
                <c:pt idx="908">
                  <c:v>63</c:v>
                </c:pt>
                <c:pt idx="909">
                  <c:v>32</c:v>
                </c:pt>
                <c:pt idx="910">
                  <c:v>22</c:v>
                </c:pt>
                <c:pt idx="911">
                  <c:v>18</c:v>
                </c:pt>
                <c:pt idx="912">
                  <c:v>59</c:v>
                </c:pt>
                <c:pt idx="913">
                  <c:v>44</c:v>
                </c:pt>
                <c:pt idx="914">
                  <c:v>33</c:v>
                </c:pt>
                <c:pt idx="915">
                  <c:v>24</c:v>
                </c:pt>
                <c:pt idx="916">
                  <c:v>43</c:v>
                </c:pt>
                <c:pt idx="917">
                  <c:v>45</c:v>
                </c:pt>
                <c:pt idx="918">
                  <c:v>61</c:v>
                </c:pt>
                <c:pt idx="919">
                  <c:v>35</c:v>
                </c:pt>
                <c:pt idx="920">
                  <c:v>62</c:v>
                </c:pt>
                <c:pt idx="921">
                  <c:v>62</c:v>
                </c:pt>
                <c:pt idx="922">
                  <c:v>38</c:v>
                </c:pt>
                <c:pt idx="923">
                  <c:v>34</c:v>
                </c:pt>
                <c:pt idx="924">
                  <c:v>43</c:v>
                </c:pt>
                <c:pt idx="925">
                  <c:v>50</c:v>
                </c:pt>
                <c:pt idx="926">
                  <c:v>19</c:v>
                </c:pt>
                <c:pt idx="927">
                  <c:v>57</c:v>
                </c:pt>
                <c:pt idx="928">
                  <c:v>62</c:v>
                </c:pt>
                <c:pt idx="929">
                  <c:v>41</c:v>
                </c:pt>
                <c:pt idx="930">
                  <c:v>26</c:v>
                </c:pt>
                <c:pt idx="931">
                  <c:v>39</c:v>
                </c:pt>
                <c:pt idx="932">
                  <c:v>46</c:v>
                </c:pt>
                <c:pt idx="933">
                  <c:v>45</c:v>
                </c:pt>
                <c:pt idx="934">
                  <c:v>32</c:v>
                </c:pt>
                <c:pt idx="935">
                  <c:v>59</c:v>
                </c:pt>
                <c:pt idx="936">
                  <c:v>44</c:v>
                </c:pt>
                <c:pt idx="937">
                  <c:v>39</c:v>
                </c:pt>
                <c:pt idx="938">
                  <c:v>18</c:v>
                </c:pt>
                <c:pt idx="939">
                  <c:v>53</c:v>
                </c:pt>
                <c:pt idx="940">
                  <c:v>18</c:v>
                </c:pt>
                <c:pt idx="941">
                  <c:v>50</c:v>
                </c:pt>
                <c:pt idx="942">
                  <c:v>18</c:v>
                </c:pt>
                <c:pt idx="943">
                  <c:v>19</c:v>
                </c:pt>
                <c:pt idx="944">
                  <c:v>62</c:v>
                </c:pt>
                <c:pt idx="945">
                  <c:v>56</c:v>
                </c:pt>
                <c:pt idx="946">
                  <c:v>42</c:v>
                </c:pt>
                <c:pt idx="947">
                  <c:v>37</c:v>
                </c:pt>
                <c:pt idx="948">
                  <c:v>42</c:v>
                </c:pt>
                <c:pt idx="949">
                  <c:v>25</c:v>
                </c:pt>
                <c:pt idx="950">
                  <c:v>57</c:v>
                </c:pt>
                <c:pt idx="951">
                  <c:v>51</c:v>
                </c:pt>
                <c:pt idx="952">
                  <c:v>30</c:v>
                </c:pt>
                <c:pt idx="953">
                  <c:v>44</c:v>
                </c:pt>
                <c:pt idx="954">
                  <c:v>34</c:v>
                </c:pt>
                <c:pt idx="955">
                  <c:v>31</c:v>
                </c:pt>
                <c:pt idx="956">
                  <c:v>54</c:v>
                </c:pt>
                <c:pt idx="957">
                  <c:v>24</c:v>
                </c:pt>
                <c:pt idx="958">
                  <c:v>43</c:v>
                </c:pt>
                <c:pt idx="959">
                  <c:v>48</c:v>
                </c:pt>
                <c:pt idx="960">
                  <c:v>19</c:v>
                </c:pt>
                <c:pt idx="961">
                  <c:v>29</c:v>
                </c:pt>
                <c:pt idx="962">
                  <c:v>63</c:v>
                </c:pt>
                <c:pt idx="963">
                  <c:v>46</c:v>
                </c:pt>
                <c:pt idx="964">
                  <c:v>52</c:v>
                </c:pt>
                <c:pt idx="965">
                  <c:v>35</c:v>
                </c:pt>
                <c:pt idx="966">
                  <c:v>51</c:v>
                </c:pt>
                <c:pt idx="967">
                  <c:v>44</c:v>
                </c:pt>
                <c:pt idx="968">
                  <c:v>21</c:v>
                </c:pt>
                <c:pt idx="969">
                  <c:v>39</c:v>
                </c:pt>
                <c:pt idx="970">
                  <c:v>50</c:v>
                </c:pt>
                <c:pt idx="971">
                  <c:v>34</c:v>
                </c:pt>
                <c:pt idx="972">
                  <c:v>22</c:v>
                </c:pt>
                <c:pt idx="973">
                  <c:v>19</c:v>
                </c:pt>
                <c:pt idx="974">
                  <c:v>26</c:v>
                </c:pt>
                <c:pt idx="975">
                  <c:v>29</c:v>
                </c:pt>
                <c:pt idx="976">
                  <c:v>48</c:v>
                </c:pt>
                <c:pt idx="977">
                  <c:v>26</c:v>
                </c:pt>
                <c:pt idx="978">
                  <c:v>45</c:v>
                </c:pt>
                <c:pt idx="979">
                  <c:v>36</c:v>
                </c:pt>
                <c:pt idx="980">
                  <c:v>54</c:v>
                </c:pt>
                <c:pt idx="981">
                  <c:v>34</c:v>
                </c:pt>
                <c:pt idx="982">
                  <c:v>31</c:v>
                </c:pt>
                <c:pt idx="983">
                  <c:v>27</c:v>
                </c:pt>
                <c:pt idx="984">
                  <c:v>20</c:v>
                </c:pt>
                <c:pt idx="985">
                  <c:v>44</c:v>
                </c:pt>
                <c:pt idx="986">
                  <c:v>43</c:v>
                </c:pt>
                <c:pt idx="987">
                  <c:v>45</c:v>
                </c:pt>
                <c:pt idx="988">
                  <c:v>34</c:v>
                </c:pt>
                <c:pt idx="989">
                  <c:v>24</c:v>
                </c:pt>
                <c:pt idx="990">
                  <c:v>26</c:v>
                </c:pt>
                <c:pt idx="991">
                  <c:v>38</c:v>
                </c:pt>
                <c:pt idx="992">
                  <c:v>50</c:v>
                </c:pt>
                <c:pt idx="993">
                  <c:v>38</c:v>
                </c:pt>
                <c:pt idx="994">
                  <c:v>27</c:v>
                </c:pt>
                <c:pt idx="995">
                  <c:v>39</c:v>
                </c:pt>
                <c:pt idx="996">
                  <c:v>39</c:v>
                </c:pt>
                <c:pt idx="997">
                  <c:v>63</c:v>
                </c:pt>
                <c:pt idx="998">
                  <c:v>33</c:v>
                </c:pt>
                <c:pt idx="999">
                  <c:v>36</c:v>
                </c:pt>
                <c:pt idx="1000">
                  <c:v>30</c:v>
                </c:pt>
                <c:pt idx="1001">
                  <c:v>24</c:v>
                </c:pt>
                <c:pt idx="1002">
                  <c:v>24</c:v>
                </c:pt>
                <c:pt idx="1003">
                  <c:v>48</c:v>
                </c:pt>
                <c:pt idx="1004">
                  <c:v>47</c:v>
                </c:pt>
                <c:pt idx="1005">
                  <c:v>29</c:v>
                </c:pt>
                <c:pt idx="1006">
                  <c:v>28</c:v>
                </c:pt>
                <c:pt idx="1007">
                  <c:v>47</c:v>
                </c:pt>
                <c:pt idx="1008">
                  <c:v>25</c:v>
                </c:pt>
                <c:pt idx="1009">
                  <c:v>51</c:v>
                </c:pt>
                <c:pt idx="1010">
                  <c:v>48</c:v>
                </c:pt>
                <c:pt idx="1011">
                  <c:v>43</c:v>
                </c:pt>
                <c:pt idx="1012">
                  <c:v>61</c:v>
                </c:pt>
                <c:pt idx="1013">
                  <c:v>48</c:v>
                </c:pt>
                <c:pt idx="1014">
                  <c:v>38</c:v>
                </c:pt>
                <c:pt idx="1015">
                  <c:v>59</c:v>
                </c:pt>
                <c:pt idx="1016">
                  <c:v>19</c:v>
                </c:pt>
                <c:pt idx="1017">
                  <c:v>26</c:v>
                </c:pt>
                <c:pt idx="1018">
                  <c:v>54</c:v>
                </c:pt>
                <c:pt idx="1019">
                  <c:v>21</c:v>
                </c:pt>
                <c:pt idx="1020">
                  <c:v>51</c:v>
                </c:pt>
                <c:pt idx="1021">
                  <c:v>22</c:v>
                </c:pt>
                <c:pt idx="1022">
                  <c:v>47</c:v>
                </c:pt>
                <c:pt idx="1023">
                  <c:v>18</c:v>
                </c:pt>
                <c:pt idx="1024">
                  <c:v>47</c:v>
                </c:pt>
                <c:pt idx="1025">
                  <c:v>21</c:v>
                </c:pt>
                <c:pt idx="1026">
                  <c:v>19</c:v>
                </c:pt>
                <c:pt idx="1027">
                  <c:v>23</c:v>
                </c:pt>
                <c:pt idx="1028">
                  <c:v>54</c:v>
                </c:pt>
                <c:pt idx="1029">
                  <c:v>37</c:v>
                </c:pt>
                <c:pt idx="1030">
                  <c:v>46</c:v>
                </c:pt>
                <c:pt idx="1031">
                  <c:v>55</c:v>
                </c:pt>
                <c:pt idx="1032">
                  <c:v>30</c:v>
                </c:pt>
                <c:pt idx="1033">
                  <c:v>18</c:v>
                </c:pt>
                <c:pt idx="1034">
                  <c:v>61</c:v>
                </c:pt>
                <c:pt idx="1035">
                  <c:v>54</c:v>
                </c:pt>
                <c:pt idx="1036">
                  <c:v>22</c:v>
                </c:pt>
                <c:pt idx="1037">
                  <c:v>45</c:v>
                </c:pt>
                <c:pt idx="1038">
                  <c:v>22</c:v>
                </c:pt>
                <c:pt idx="1039">
                  <c:v>19</c:v>
                </c:pt>
                <c:pt idx="1040">
                  <c:v>35</c:v>
                </c:pt>
                <c:pt idx="1041">
                  <c:v>18</c:v>
                </c:pt>
                <c:pt idx="1042">
                  <c:v>20</c:v>
                </c:pt>
                <c:pt idx="1043">
                  <c:v>28</c:v>
                </c:pt>
                <c:pt idx="1044">
                  <c:v>55</c:v>
                </c:pt>
                <c:pt idx="1045">
                  <c:v>43</c:v>
                </c:pt>
                <c:pt idx="1046">
                  <c:v>43</c:v>
                </c:pt>
                <c:pt idx="1047">
                  <c:v>22</c:v>
                </c:pt>
                <c:pt idx="1048">
                  <c:v>25</c:v>
                </c:pt>
                <c:pt idx="1049">
                  <c:v>49</c:v>
                </c:pt>
                <c:pt idx="1050">
                  <c:v>44</c:v>
                </c:pt>
                <c:pt idx="1051">
                  <c:v>64</c:v>
                </c:pt>
                <c:pt idx="1052">
                  <c:v>49</c:v>
                </c:pt>
                <c:pt idx="1053">
                  <c:v>47</c:v>
                </c:pt>
                <c:pt idx="1054">
                  <c:v>27</c:v>
                </c:pt>
                <c:pt idx="1055">
                  <c:v>55</c:v>
                </c:pt>
                <c:pt idx="1056">
                  <c:v>48</c:v>
                </c:pt>
                <c:pt idx="1057">
                  <c:v>45</c:v>
                </c:pt>
                <c:pt idx="1058">
                  <c:v>24</c:v>
                </c:pt>
                <c:pt idx="1059">
                  <c:v>32</c:v>
                </c:pt>
                <c:pt idx="1060">
                  <c:v>24</c:v>
                </c:pt>
                <c:pt idx="1061">
                  <c:v>57</c:v>
                </c:pt>
                <c:pt idx="1062">
                  <c:v>59</c:v>
                </c:pt>
                <c:pt idx="1063">
                  <c:v>36</c:v>
                </c:pt>
                <c:pt idx="1064">
                  <c:v>29</c:v>
                </c:pt>
                <c:pt idx="1065">
                  <c:v>42</c:v>
                </c:pt>
                <c:pt idx="1066">
                  <c:v>48</c:v>
                </c:pt>
                <c:pt idx="1067">
                  <c:v>39</c:v>
                </c:pt>
                <c:pt idx="1068">
                  <c:v>63</c:v>
                </c:pt>
                <c:pt idx="1069">
                  <c:v>54</c:v>
                </c:pt>
                <c:pt idx="1070">
                  <c:v>37</c:v>
                </c:pt>
                <c:pt idx="1071">
                  <c:v>63</c:v>
                </c:pt>
                <c:pt idx="1072">
                  <c:v>21</c:v>
                </c:pt>
                <c:pt idx="1073">
                  <c:v>54</c:v>
                </c:pt>
                <c:pt idx="1074">
                  <c:v>60</c:v>
                </c:pt>
                <c:pt idx="1075">
                  <c:v>32</c:v>
                </c:pt>
                <c:pt idx="1076">
                  <c:v>47</c:v>
                </c:pt>
                <c:pt idx="1077">
                  <c:v>21</c:v>
                </c:pt>
                <c:pt idx="1078">
                  <c:v>28</c:v>
                </c:pt>
                <c:pt idx="1079">
                  <c:v>63</c:v>
                </c:pt>
                <c:pt idx="1080">
                  <c:v>18</c:v>
                </c:pt>
                <c:pt idx="1081">
                  <c:v>32</c:v>
                </c:pt>
                <c:pt idx="1082">
                  <c:v>38</c:v>
                </c:pt>
                <c:pt idx="1083">
                  <c:v>32</c:v>
                </c:pt>
                <c:pt idx="1084">
                  <c:v>62</c:v>
                </c:pt>
                <c:pt idx="1085">
                  <c:v>39</c:v>
                </c:pt>
                <c:pt idx="1086">
                  <c:v>55</c:v>
                </c:pt>
                <c:pt idx="1087">
                  <c:v>57</c:v>
                </c:pt>
                <c:pt idx="1088">
                  <c:v>52</c:v>
                </c:pt>
                <c:pt idx="1089">
                  <c:v>56</c:v>
                </c:pt>
                <c:pt idx="1090">
                  <c:v>47</c:v>
                </c:pt>
                <c:pt idx="1091">
                  <c:v>55</c:v>
                </c:pt>
                <c:pt idx="1092">
                  <c:v>23</c:v>
                </c:pt>
                <c:pt idx="1093">
                  <c:v>22</c:v>
                </c:pt>
                <c:pt idx="1094">
                  <c:v>50</c:v>
                </c:pt>
                <c:pt idx="1095">
                  <c:v>18</c:v>
                </c:pt>
                <c:pt idx="1096">
                  <c:v>51</c:v>
                </c:pt>
                <c:pt idx="1097">
                  <c:v>22</c:v>
                </c:pt>
                <c:pt idx="1098">
                  <c:v>52</c:v>
                </c:pt>
                <c:pt idx="1099">
                  <c:v>25</c:v>
                </c:pt>
                <c:pt idx="1100">
                  <c:v>33</c:v>
                </c:pt>
                <c:pt idx="1101">
                  <c:v>53</c:v>
                </c:pt>
                <c:pt idx="1102">
                  <c:v>29</c:v>
                </c:pt>
                <c:pt idx="1103">
                  <c:v>58</c:v>
                </c:pt>
                <c:pt idx="1104">
                  <c:v>37</c:v>
                </c:pt>
                <c:pt idx="1105">
                  <c:v>54</c:v>
                </c:pt>
                <c:pt idx="1106">
                  <c:v>49</c:v>
                </c:pt>
                <c:pt idx="1107">
                  <c:v>50</c:v>
                </c:pt>
                <c:pt idx="1108">
                  <c:v>26</c:v>
                </c:pt>
                <c:pt idx="1109">
                  <c:v>45</c:v>
                </c:pt>
                <c:pt idx="1110">
                  <c:v>54</c:v>
                </c:pt>
                <c:pt idx="1111">
                  <c:v>38</c:v>
                </c:pt>
                <c:pt idx="1112">
                  <c:v>48</c:v>
                </c:pt>
                <c:pt idx="1113">
                  <c:v>28</c:v>
                </c:pt>
                <c:pt idx="1114">
                  <c:v>23</c:v>
                </c:pt>
                <c:pt idx="1115">
                  <c:v>55</c:v>
                </c:pt>
                <c:pt idx="1116">
                  <c:v>41</c:v>
                </c:pt>
                <c:pt idx="1117">
                  <c:v>25</c:v>
                </c:pt>
                <c:pt idx="1118">
                  <c:v>33</c:v>
                </c:pt>
                <c:pt idx="1119">
                  <c:v>30</c:v>
                </c:pt>
                <c:pt idx="1120">
                  <c:v>23</c:v>
                </c:pt>
                <c:pt idx="1121">
                  <c:v>46</c:v>
                </c:pt>
                <c:pt idx="1122">
                  <c:v>53</c:v>
                </c:pt>
                <c:pt idx="1123">
                  <c:v>27</c:v>
                </c:pt>
                <c:pt idx="1124">
                  <c:v>23</c:v>
                </c:pt>
                <c:pt idx="1125">
                  <c:v>63</c:v>
                </c:pt>
                <c:pt idx="1126">
                  <c:v>55</c:v>
                </c:pt>
                <c:pt idx="1127">
                  <c:v>35</c:v>
                </c:pt>
                <c:pt idx="1128">
                  <c:v>34</c:v>
                </c:pt>
                <c:pt idx="1129">
                  <c:v>19</c:v>
                </c:pt>
                <c:pt idx="1130">
                  <c:v>39</c:v>
                </c:pt>
                <c:pt idx="1131">
                  <c:v>27</c:v>
                </c:pt>
                <c:pt idx="1132">
                  <c:v>57</c:v>
                </c:pt>
                <c:pt idx="1133">
                  <c:v>52</c:v>
                </c:pt>
                <c:pt idx="1134">
                  <c:v>28</c:v>
                </c:pt>
                <c:pt idx="1135">
                  <c:v>50</c:v>
                </c:pt>
                <c:pt idx="1136">
                  <c:v>44</c:v>
                </c:pt>
                <c:pt idx="1137">
                  <c:v>26</c:v>
                </c:pt>
                <c:pt idx="1138">
                  <c:v>33</c:v>
                </c:pt>
                <c:pt idx="1139">
                  <c:v>19</c:v>
                </c:pt>
                <c:pt idx="1140">
                  <c:v>50</c:v>
                </c:pt>
                <c:pt idx="1141">
                  <c:v>41</c:v>
                </c:pt>
                <c:pt idx="1142">
                  <c:v>52</c:v>
                </c:pt>
                <c:pt idx="1143">
                  <c:v>39</c:v>
                </c:pt>
                <c:pt idx="1144">
                  <c:v>50</c:v>
                </c:pt>
                <c:pt idx="1145">
                  <c:v>52</c:v>
                </c:pt>
                <c:pt idx="1146">
                  <c:v>60</c:v>
                </c:pt>
                <c:pt idx="1147">
                  <c:v>20</c:v>
                </c:pt>
                <c:pt idx="1148">
                  <c:v>55</c:v>
                </c:pt>
                <c:pt idx="1149">
                  <c:v>42</c:v>
                </c:pt>
                <c:pt idx="1150">
                  <c:v>18</c:v>
                </c:pt>
                <c:pt idx="1151">
                  <c:v>58</c:v>
                </c:pt>
                <c:pt idx="1152">
                  <c:v>43</c:v>
                </c:pt>
                <c:pt idx="1153">
                  <c:v>35</c:v>
                </c:pt>
                <c:pt idx="1154">
                  <c:v>48</c:v>
                </c:pt>
                <c:pt idx="1155">
                  <c:v>36</c:v>
                </c:pt>
                <c:pt idx="1156">
                  <c:v>19</c:v>
                </c:pt>
                <c:pt idx="1157">
                  <c:v>23</c:v>
                </c:pt>
                <c:pt idx="1158">
                  <c:v>20</c:v>
                </c:pt>
                <c:pt idx="1159">
                  <c:v>32</c:v>
                </c:pt>
                <c:pt idx="1160">
                  <c:v>43</c:v>
                </c:pt>
                <c:pt idx="1161">
                  <c:v>34</c:v>
                </c:pt>
                <c:pt idx="1162">
                  <c:v>30</c:v>
                </c:pt>
                <c:pt idx="1163">
                  <c:v>18</c:v>
                </c:pt>
                <c:pt idx="1164">
                  <c:v>41</c:v>
                </c:pt>
                <c:pt idx="1165">
                  <c:v>35</c:v>
                </c:pt>
                <c:pt idx="1166">
                  <c:v>57</c:v>
                </c:pt>
                <c:pt idx="1167">
                  <c:v>29</c:v>
                </c:pt>
                <c:pt idx="1168">
                  <c:v>32</c:v>
                </c:pt>
                <c:pt idx="1169">
                  <c:v>37</c:v>
                </c:pt>
                <c:pt idx="1170">
                  <c:v>18</c:v>
                </c:pt>
                <c:pt idx="1171">
                  <c:v>43</c:v>
                </c:pt>
                <c:pt idx="1172">
                  <c:v>56</c:v>
                </c:pt>
                <c:pt idx="1173">
                  <c:v>38</c:v>
                </c:pt>
                <c:pt idx="1174">
                  <c:v>29</c:v>
                </c:pt>
                <c:pt idx="1175">
                  <c:v>22</c:v>
                </c:pt>
                <c:pt idx="1176">
                  <c:v>52</c:v>
                </c:pt>
                <c:pt idx="1177">
                  <c:v>40</c:v>
                </c:pt>
                <c:pt idx="1178">
                  <c:v>23</c:v>
                </c:pt>
                <c:pt idx="1179">
                  <c:v>31</c:v>
                </c:pt>
                <c:pt idx="1180">
                  <c:v>42</c:v>
                </c:pt>
                <c:pt idx="1181">
                  <c:v>24</c:v>
                </c:pt>
                <c:pt idx="1182">
                  <c:v>25</c:v>
                </c:pt>
                <c:pt idx="1183">
                  <c:v>48</c:v>
                </c:pt>
                <c:pt idx="1184">
                  <c:v>23</c:v>
                </c:pt>
                <c:pt idx="1185">
                  <c:v>45</c:v>
                </c:pt>
                <c:pt idx="1186">
                  <c:v>20</c:v>
                </c:pt>
                <c:pt idx="1187">
                  <c:v>62</c:v>
                </c:pt>
                <c:pt idx="1188">
                  <c:v>43</c:v>
                </c:pt>
                <c:pt idx="1189">
                  <c:v>23</c:v>
                </c:pt>
                <c:pt idx="1190">
                  <c:v>31</c:v>
                </c:pt>
                <c:pt idx="1191">
                  <c:v>41</c:v>
                </c:pt>
                <c:pt idx="1192">
                  <c:v>58</c:v>
                </c:pt>
                <c:pt idx="1193">
                  <c:v>48</c:v>
                </c:pt>
                <c:pt idx="1194">
                  <c:v>31</c:v>
                </c:pt>
                <c:pt idx="1195">
                  <c:v>19</c:v>
                </c:pt>
                <c:pt idx="1196">
                  <c:v>19</c:v>
                </c:pt>
                <c:pt idx="1197">
                  <c:v>41</c:v>
                </c:pt>
                <c:pt idx="1198">
                  <c:v>40</c:v>
                </c:pt>
                <c:pt idx="1199">
                  <c:v>31</c:v>
                </c:pt>
                <c:pt idx="1200">
                  <c:v>37</c:v>
                </c:pt>
                <c:pt idx="1201">
                  <c:v>46</c:v>
                </c:pt>
                <c:pt idx="1202">
                  <c:v>22</c:v>
                </c:pt>
                <c:pt idx="1203">
                  <c:v>51</c:v>
                </c:pt>
                <c:pt idx="1204">
                  <c:v>18</c:v>
                </c:pt>
                <c:pt idx="1205">
                  <c:v>35</c:v>
                </c:pt>
                <c:pt idx="1206">
                  <c:v>59</c:v>
                </c:pt>
                <c:pt idx="1207">
                  <c:v>36</c:v>
                </c:pt>
                <c:pt idx="1208">
                  <c:v>37</c:v>
                </c:pt>
                <c:pt idx="1209">
                  <c:v>59</c:v>
                </c:pt>
                <c:pt idx="1210">
                  <c:v>36</c:v>
                </c:pt>
                <c:pt idx="1211">
                  <c:v>39</c:v>
                </c:pt>
                <c:pt idx="1212">
                  <c:v>18</c:v>
                </c:pt>
                <c:pt idx="1213">
                  <c:v>52</c:v>
                </c:pt>
                <c:pt idx="1214">
                  <c:v>27</c:v>
                </c:pt>
                <c:pt idx="1215">
                  <c:v>18</c:v>
                </c:pt>
                <c:pt idx="1216">
                  <c:v>40</c:v>
                </c:pt>
                <c:pt idx="1217">
                  <c:v>29</c:v>
                </c:pt>
                <c:pt idx="1218">
                  <c:v>46</c:v>
                </c:pt>
                <c:pt idx="1219">
                  <c:v>38</c:v>
                </c:pt>
                <c:pt idx="1220">
                  <c:v>30</c:v>
                </c:pt>
                <c:pt idx="1221">
                  <c:v>40</c:v>
                </c:pt>
                <c:pt idx="1222">
                  <c:v>50</c:v>
                </c:pt>
                <c:pt idx="1223">
                  <c:v>20</c:v>
                </c:pt>
                <c:pt idx="1224">
                  <c:v>41</c:v>
                </c:pt>
                <c:pt idx="1225">
                  <c:v>33</c:v>
                </c:pt>
                <c:pt idx="1226">
                  <c:v>38</c:v>
                </c:pt>
                <c:pt idx="1227">
                  <c:v>42</c:v>
                </c:pt>
                <c:pt idx="1228">
                  <c:v>56</c:v>
                </c:pt>
                <c:pt idx="1229">
                  <c:v>58</c:v>
                </c:pt>
                <c:pt idx="1230">
                  <c:v>52</c:v>
                </c:pt>
                <c:pt idx="1231">
                  <c:v>20</c:v>
                </c:pt>
                <c:pt idx="1232">
                  <c:v>54</c:v>
                </c:pt>
                <c:pt idx="1233">
                  <c:v>58</c:v>
                </c:pt>
                <c:pt idx="1234">
                  <c:v>45</c:v>
                </c:pt>
                <c:pt idx="1235">
                  <c:v>26</c:v>
                </c:pt>
                <c:pt idx="1236">
                  <c:v>63</c:v>
                </c:pt>
                <c:pt idx="1237">
                  <c:v>58</c:v>
                </c:pt>
                <c:pt idx="1238">
                  <c:v>37</c:v>
                </c:pt>
                <c:pt idx="1239">
                  <c:v>25</c:v>
                </c:pt>
                <c:pt idx="1240">
                  <c:v>52</c:v>
                </c:pt>
                <c:pt idx="1241">
                  <c:v>64</c:v>
                </c:pt>
                <c:pt idx="1242">
                  <c:v>22</c:v>
                </c:pt>
                <c:pt idx="1243">
                  <c:v>28</c:v>
                </c:pt>
                <c:pt idx="1244">
                  <c:v>18</c:v>
                </c:pt>
                <c:pt idx="1245">
                  <c:v>28</c:v>
                </c:pt>
                <c:pt idx="1246">
                  <c:v>45</c:v>
                </c:pt>
                <c:pt idx="1247">
                  <c:v>33</c:v>
                </c:pt>
                <c:pt idx="1248">
                  <c:v>18</c:v>
                </c:pt>
                <c:pt idx="1249">
                  <c:v>32</c:v>
                </c:pt>
                <c:pt idx="1250">
                  <c:v>24</c:v>
                </c:pt>
                <c:pt idx="1251">
                  <c:v>19</c:v>
                </c:pt>
                <c:pt idx="1252">
                  <c:v>20</c:v>
                </c:pt>
                <c:pt idx="1253">
                  <c:v>40</c:v>
                </c:pt>
                <c:pt idx="1254">
                  <c:v>34</c:v>
                </c:pt>
                <c:pt idx="1255">
                  <c:v>42</c:v>
                </c:pt>
                <c:pt idx="1256">
                  <c:v>51</c:v>
                </c:pt>
                <c:pt idx="1257">
                  <c:v>54</c:v>
                </c:pt>
                <c:pt idx="1258">
                  <c:v>55</c:v>
                </c:pt>
                <c:pt idx="1259">
                  <c:v>52</c:v>
                </c:pt>
                <c:pt idx="1260">
                  <c:v>32</c:v>
                </c:pt>
                <c:pt idx="1261">
                  <c:v>28</c:v>
                </c:pt>
                <c:pt idx="1262">
                  <c:v>41</c:v>
                </c:pt>
                <c:pt idx="1263">
                  <c:v>43</c:v>
                </c:pt>
                <c:pt idx="1264">
                  <c:v>49</c:v>
                </c:pt>
                <c:pt idx="1265">
                  <c:v>64</c:v>
                </c:pt>
                <c:pt idx="1266">
                  <c:v>55</c:v>
                </c:pt>
                <c:pt idx="1267">
                  <c:v>24</c:v>
                </c:pt>
                <c:pt idx="1268">
                  <c:v>20</c:v>
                </c:pt>
                <c:pt idx="1269">
                  <c:v>45</c:v>
                </c:pt>
                <c:pt idx="1270">
                  <c:v>26</c:v>
                </c:pt>
                <c:pt idx="1271">
                  <c:v>25</c:v>
                </c:pt>
                <c:pt idx="1272">
                  <c:v>43</c:v>
                </c:pt>
                <c:pt idx="1273">
                  <c:v>35</c:v>
                </c:pt>
                <c:pt idx="1274">
                  <c:v>26</c:v>
                </c:pt>
                <c:pt idx="1275">
                  <c:v>57</c:v>
                </c:pt>
                <c:pt idx="1276">
                  <c:v>22</c:v>
                </c:pt>
                <c:pt idx="1277">
                  <c:v>32</c:v>
                </c:pt>
                <c:pt idx="1278">
                  <c:v>39</c:v>
                </c:pt>
                <c:pt idx="1279">
                  <c:v>25</c:v>
                </c:pt>
                <c:pt idx="1280">
                  <c:v>48</c:v>
                </c:pt>
                <c:pt idx="1281">
                  <c:v>47</c:v>
                </c:pt>
                <c:pt idx="1282">
                  <c:v>18</c:v>
                </c:pt>
                <c:pt idx="1283">
                  <c:v>18</c:v>
                </c:pt>
                <c:pt idx="1284">
                  <c:v>61</c:v>
                </c:pt>
                <c:pt idx="1285">
                  <c:v>47</c:v>
                </c:pt>
                <c:pt idx="1286">
                  <c:v>28</c:v>
                </c:pt>
                <c:pt idx="1287">
                  <c:v>36</c:v>
                </c:pt>
                <c:pt idx="1288">
                  <c:v>20</c:v>
                </c:pt>
                <c:pt idx="1289">
                  <c:v>44</c:v>
                </c:pt>
                <c:pt idx="1290">
                  <c:v>38</c:v>
                </c:pt>
                <c:pt idx="1291">
                  <c:v>19</c:v>
                </c:pt>
                <c:pt idx="1292">
                  <c:v>21</c:v>
                </c:pt>
                <c:pt idx="1293">
                  <c:v>46</c:v>
                </c:pt>
                <c:pt idx="1294">
                  <c:v>58</c:v>
                </c:pt>
                <c:pt idx="1295">
                  <c:v>20</c:v>
                </c:pt>
                <c:pt idx="1296">
                  <c:v>18</c:v>
                </c:pt>
                <c:pt idx="1297">
                  <c:v>28</c:v>
                </c:pt>
                <c:pt idx="1298">
                  <c:v>33</c:v>
                </c:pt>
                <c:pt idx="1299">
                  <c:v>19</c:v>
                </c:pt>
                <c:pt idx="1300">
                  <c:v>45</c:v>
                </c:pt>
                <c:pt idx="1301">
                  <c:v>62</c:v>
                </c:pt>
                <c:pt idx="1302">
                  <c:v>25</c:v>
                </c:pt>
                <c:pt idx="1303">
                  <c:v>43</c:v>
                </c:pt>
                <c:pt idx="1304">
                  <c:v>42</c:v>
                </c:pt>
                <c:pt idx="1305">
                  <c:v>24</c:v>
                </c:pt>
                <c:pt idx="1306">
                  <c:v>29</c:v>
                </c:pt>
                <c:pt idx="1307">
                  <c:v>32</c:v>
                </c:pt>
                <c:pt idx="1308">
                  <c:v>25</c:v>
                </c:pt>
                <c:pt idx="1309">
                  <c:v>41</c:v>
                </c:pt>
                <c:pt idx="1310">
                  <c:v>42</c:v>
                </c:pt>
                <c:pt idx="1311">
                  <c:v>33</c:v>
                </c:pt>
                <c:pt idx="1312">
                  <c:v>34</c:v>
                </c:pt>
                <c:pt idx="1313">
                  <c:v>19</c:v>
                </c:pt>
                <c:pt idx="1314">
                  <c:v>30</c:v>
                </c:pt>
                <c:pt idx="1315">
                  <c:v>18</c:v>
                </c:pt>
                <c:pt idx="1316">
                  <c:v>19</c:v>
                </c:pt>
                <c:pt idx="1317">
                  <c:v>18</c:v>
                </c:pt>
                <c:pt idx="1318">
                  <c:v>35</c:v>
                </c:pt>
                <c:pt idx="1319">
                  <c:v>39</c:v>
                </c:pt>
                <c:pt idx="1320">
                  <c:v>31</c:v>
                </c:pt>
                <c:pt idx="1321">
                  <c:v>62</c:v>
                </c:pt>
                <c:pt idx="1322">
                  <c:v>62</c:v>
                </c:pt>
                <c:pt idx="1323">
                  <c:v>42</c:v>
                </c:pt>
                <c:pt idx="1324">
                  <c:v>31</c:v>
                </c:pt>
                <c:pt idx="1325">
                  <c:v>61</c:v>
                </c:pt>
                <c:pt idx="1326">
                  <c:v>42</c:v>
                </c:pt>
                <c:pt idx="1327">
                  <c:v>51</c:v>
                </c:pt>
                <c:pt idx="1328">
                  <c:v>23</c:v>
                </c:pt>
                <c:pt idx="1329">
                  <c:v>52</c:v>
                </c:pt>
                <c:pt idx="1330">
                  <c:v>57</c:v>
                </c:pt>
                <c:pt idx="1331">
                  <c:v>23</c:v>
                </c:pt>
                <c:pt idx="1332">
                  <c:v>52</c:v>
                </c:pt>
                <c:pt idx="1333">
                  <c:v>50</c:v>
                </c:pt>
                <c:pt idx="1334">
                  <c:v>18</c:v>
                </c:pt>
                <c:pt idx="1335">
                  <c:v>18</c:v>
                </c:pt>
                <c:pt idx="1336">
                  <c:v>21</c:v>
                </c:pt>
                <c:pt idx="1337">
                  <c:v>61</c:v>
                </c:pt>
              </c:numCache>
            </c:numRef>
          </c:xVal>
          <c:yVal>
            <c:numRef>
              <c:f>insurance!$D$2:$D$1339</c:f>
              <c:numCache>
                <c:formatCode>General</c:formatCode>
                <c:ptCount val="133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3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0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5</c:v>
                </c:pt>
                <c:pt idx="72">
                  <c:v>3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4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2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3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2</c:v>
                </c:pt>
                <c:pt idx="164">
                  <c:v>0</c:v>
                </c:pt>
                <c:pt idx="165">
                  <c:v>4</c:v>
                </c:pt>
                <c:pt idx="166">
                  <c:v>5</c:v>
                </c:pt>
                <c:pt idx="167">
                  <c:v>3</c:v>
                </c:pt>
                <c:pt idx="168">
                  <c:v>1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3</c:v>
                </c:pt>
                <c:pt idx="183">
                  <c:v>0</c:v>
                </c:pt>
                <c:pt idx="184">
                  <c:v>2</c:v>
                </c:pt>
                <c:pt idx="185">
                  <c:v>3</c:v>
                </c:pt>
                <c:pt idx="186">
                  <c:v>2</c:v>
                </c:pt>
                <c:pt idx="187">
                  <c:v>3</c:v>
                </c:pt>
                <c:pt idx="188">
                  <c:v>1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2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4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3</c:v>
                </c:pt>
                <c:pt idx="223">
                  <c:v>0</c:v>
                </c:pt>
                <c:pt idx="224">
                  <c:v>0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0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0</c:v>
                </c:pt>
                <c:pt idx="237">
                  <c:v>2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3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3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3</c:v>
                </c:pt>
                <c:pt idx="263">
                  <c:v>0</c:v>
                </c:pt>
                <c:pt idx="264">
                  <c:v>3</c:v>
                </c:pt>
                <c:pt idx="265">
                  <c:v>3</c:v>
                </c:pt>
                <c:pt idx="266">
                  <c:v>1</c:v>
                </c:pt>
                <c:pt idx="267">
                  <c:v>3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2</c:v>
                </c:pt>
                <c:pt idx="277">
                  <c:v>0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3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3</c:v>
                </c:pt>
                <c:pt idx="290">
                  <c:v>0</c:v>
                </c:pt>
                <c:pt idx="291">
                  <c:v>1</c:v>
                </c:pt>
                <c:pt idx="292">
                  <c:v>2</c:v>
                </c:pt>
                <c:pt idx="293">
                  <c:v>0</c:v>
                </c:pt>
                <c:pt idx="294">
                  <c:v>3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</c:v>
                </c:pt>
                <c:pt idx="345">
                  <c:v>3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</c:v>
                </c:pt>
                <c:pt idx="357">
                  <c:v>3</c:v>
                </c:pt>
                <c:pt idx="358">
                  <c:v>0</c:v>
                </c:pt>
                <c:pt idx="359">
                  <c:v>0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2</c:v>
                </c:pt>
                <c:pt idx="369">
                  <c:v>3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2</c:v>
                </c:pt>
                <c:pt idx="374">
                  <c:v>0</c:v>
                </c:pt>
                <c:pt idx="375">
                  <c:v>0</c:v>
                </c:pt>
                <c:pt idx="376">
                  <c:v>3</c:v>
                </c:pt>
                <c:pt idx="377">
                  <c:v>0</c:v>
                </c:pt>
                <c:pt idx="378">
                  <c:v>3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2</c:v>
                </c:pt>
                <c:pt idx="384">
                  <c:v>2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3</c:v>
                </c:pt>
                <c:pt idx="390">
                  <c:v>4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2</c:v>
                </c:pt>
                <c:pt idx="395">
                  <c:v>0</c:v>
                </c:pt>
                <c:pt idx="396">
                  <c:v>3</c:v>
                </c:pt>
                <c:pt idx="397">
                  <c:v>0</c:v>
                </c:pt>
                <c:pt idx="398">
                  <c:v>2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3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1</c:v>
                </c:pt>
                <c:pt idx="408">
                  <c:v>3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2</c:v>
                </c:pt>
                <c:pt idx="413">
                  <c:v>5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2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2</c:v>
                </c:pt>
                <c:pt idx="425">
                  <c:v>5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3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3</c:v>
                </c:pt>
                <c:pt idx="438">
                  <c:v>5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4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2</c:v>
                </c:pt>
                <c:pt idx="457">
                  <c:v>0</c:v>
                </c:pt>
                <c:pt idx="458">
                  <c:v>0</c:v>
                </c:pt>
                <c:pt idx="459">
                  <c:v>3</c:v>
                </c:pt>
                <c:pt idx="460">
                  <c:v>3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3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</c:v>
                </c:pt>
                <c:pt idx="481">
                  <c:v>2</c:v>
                </c:pt>
                <c:pt idx="482">
                  <c:v>0</c:v>
                </c:pt>
                <c:pt idx="483">
                  <c:v>1</c:v>
                </c:pt>
                <c:pt idx="484">
                  <c:v>3</c:v>
                </c:pt>
                <c:pt idx="485">
                  <c:v>0</c:v>
                </c:pt>
                <c:pt idx="486">
                  <c:v>3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1</c:v>
                </c:pt>
                <c:pt idx="505">
                  <c:v>3</c:v>
                </c:pt>
                <c:pt idx="506">
                  <c:v>1</c:v>
                </c:pt>
                <c:pt idx="507">
                  <c:v>2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2</c:v>
                </c:pt>
                <c:pt idx="527">
                  <c:v>1</c:v>
                </c:pt>
                <c:pt idx="528">
                  <c:v>1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2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0</c:v>
                </c:pt>
                <c:pt idx="540">
                  <c:v>3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2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1</c:v>
                </c:pt>
                <c:pt idx="557">
                  <c:v>0</c:v>
                </c:pt>
                <c:pt idx="558">
                  <c:v>3</c:v>
                </c:pt>
                <c:pt idx="559">
                  <c:v>0</c:v>
                </c:pt>
                <c:pt idx="560">
                  <c:v>2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2</c:v>
                </c:pt>
                <c:pt idx="565">
                  <c:v>0</c:v>
                </c:pt>
                <c:pt idx="566">
                  <c:v>1</c:v>
                </c:pt>
                <c:pt idx="567">
                  <c:v>2</c:v>
                </c:pt>
                <c:pt idx="568">
                  <c:v>5</c:v>
                </c:pt>
                <c:pt idx="569">
                  <c:v>2</c:v>
                </c:pt>
                <c:pt idx="570">
                  <c:v>0</c:v>
                </c:pt>
                <c:pt idx="571">
                  <c:v>1</c:v>
                </c:pt>
                <c:pt idx="572">
                  <c:v>2</c:v>
                </c:pt>
                <c:pt idx="573">
                  <c:v>1</c:v>
                </c:pt>
                <c:pt idx="574">
                  <c:v>2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3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2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3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3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2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2</c:v>
                </c:pt>
                <c:pt idx="638">
                  <c:v>0</c:v>
                </c:pt>
                <c:pt idx="639">
                  <c:v>4</c:v>
                </c:pt>
                <c:pt idx="640">
                  <c:v>5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2</c:v>
                </c:pt>
                <c:pt idx="645">
                  <c:v>3</c:v>
                </c:pt>
                <c:pt idx="646">
                  <c:v>1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2</c:v>
                </c:pt>
                <c:pt idx="651">
                  <c:v>1</c:v>
                </c:pt>
                <c:pt idx="652">
                  <c:v>0</c:v>
                </c:pt>
                <c:pt idx="653">
                  <c:v>2</c:v>
                </c:pt>
                <c:pt idx="654">
                  <c:v>0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4</c:v>
                </c:pt>
                <c:pt idx="660">
                  <c:v>3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0</c:v>
                </c:pt>
                <c:pt idx="669">
                  <c:v>1</c:v>
                </c:pt>
                <c:pt idx="670">
                  <c:v>3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2</c:v>
                </c:pt>
                <c:pt idx="680">
                  <c:v>1</c:v>
                </c:pt>
                <c:pt idx="681">
                  <c:v>0</c:v>
                </c:pt>
                <c:pt idx="682">
                  <c:v>2</c:v>
                </c:pt>
                <c:pt idx="683">
                  <c:v>0</c:v>
                </c:pt>
                <c:pt idx="684">
                  <c:v>1</c:v>
                </c:pt>
                <c:pt idx="685">
                  <c:v>2</c:v>
                </c:pt>
                <c:pt idx="686">
                  <c:v>2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2</c:v>
                </c:pt>
                <c:pt idx="697">
                  <c:v>1</c:v>
                </c:pt>
                <c:pt idx="698">
                  <c:v>0</c:v>
                </c:pt>
                <c:pt idx="699">
                  <c:v>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0</c:v>
                </c:pt>
                <c:pt idx="707">
                  <c:v>3</c:v>
                </c:pt>
                <c:pt idx="708">
                  <c:v>3</c:v>
                </c:pt>
                <c:pt idx="709">
                  <c:v>0</c:v>
                </c:pt>
                <c:pt idx="710">
                  <c:v>1</c:v>
                </c:pt>
                <c:pt idx="711">
                  <c:v>2</c:v>
                </c:pt>
                <c:pt idx="712">
                  <c:v>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2</c:v>
                </c:pt>
                <c:pt idx="719">
                  <c:v>0</c:v>
                </c:pt>
                <c:pt idx="720">
                  <c:v>0</c:v>
                </c:pt>
                <c:pt idx="721">
                  <c:v>3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3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3</c:v>
                </c:pt>
                <c:pt idx="731">
                  <c:v>1</c:v>
                </c:pt>
                <c:pt idx="732">
                  <c:v>3</c:v>
                </c:pt>
                <c:pt idx="733">
                  <c:v>1</c:v>
                </c:pt>
                <c:pt idx="734">
                  <c:v>3</c:v>
                </c:pt>
                <c:pt idx="735">
                  <c:v>1</c:v>
                </c:pt>
                <c:pt idx="736">
                  <c:v>0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2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4</c:v>
                </c:pt>
                <c:pt idx="755">
                  <c:v>2</c:v>
                </c:pt>
                <c:pt idx="756">
                  <c:v>3</c:v>
                </c:pt>
                <c:pt idx="757">
                  <c:v>0</c:v>
                </c:pt>
                <c:pt idx="758">
                  <c:v>3</c:v>
                </c:pt>
                <c:pt idx="759">
                  <c:v>0</c:v>
                </c:pt>
                <c:pt idx="760">
                  <c:v>2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2</c:v>
                </c:pt>
                <c:pt idx="770">
                  <c:v>3</c:v>
                </c:pt>
                <c:pt idx="771">
                  <c:v>2</c:v>
                </c:pt>
                <c:pt idx="772">
                  <c:v>0</c:v>
                </c:pt>
                <c:pt idx="773">
                  <c:v>0</c:v>
                </c:pt>
                <c:pt idx="774">
                  <c:v>2</c:v>
                </c:pt>
                <c:pt idx="775">
                  <c:v>3</c:v>
                </c:pt>
                <c:pt idx="776">
                  <c:v>2</c:v>
                </c:pt>
                <c:pt idx="777">
                  <c:v>0</c:v>
                </c:pt>
                <c:pt idx="778">
                  <c:v>3</c:v>
                </c:pt>
                <c:pt idx="779">
                  <c:v>0</c:v>
                </c:pt>
                <c:pt idx="780">
                  <c:v>3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0</c:v>
                </c:pt>
                <c:pt idx="788">
                  <c:v>3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2</c:v>
                </c:pt>
                <c:pt idx="797">
                  <c:v>1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0</c:v>
                </c:pt>
                <c:pt idx="817">
                  <c:v>3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3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0</c:v>
                </c:pt>
                <c:pt idx="834">
                  <c:v>1</c:v>
                </c:pt>
                <c:pt idx="835">
                  <c:v>2</c:v>
                </c:pt>
                <c:pt idx="836">
                  <c:v>0</c:v>
                </c:pt>
                <c:pt idx="837">
                  <c:v>0</c:v>
                </c:pt>
                <c:pt idx="838">
                  <c:v>2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2</c:v>
                </c:pt>
                <c:pt idx="854">
                  <c:v>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2</c:v>
                </c:pt>
                <c:pt idx="861">
                  <c:v>3</c:v>
                </c:pt>
                <c:pt idx="862">
                  <c:v>2</c:v>
                </c:pt>
                <c:pt idx="863">
                  <c:v>0</c:v>
                </c:pt>
                <c:pt idx="864">
                  <c:v>0</c:v>
                </c:pt>
                <c:pt idx="865">
                  <c:v>2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3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3</c:v>
                </c:pt>
                <c:pt idx="875">
                  <c:v>0</c:v>
                </c:pt>
                <c:pt idx="876">
                  <c:v>1</c:v>
                </c:pt>
                <c:pt idx="877">
                  <c:v>5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1</c:v>
                </c:pt>
                <c:pt idx="882">
                  <c:v>0</c:v>
                </c:pt>
                <c:pt idx="883">
                  <c:v>3</c:v>
                </c:pt>
                <c:pt idx="884">
                  <c:v>4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4</c:v>
                </c:pt>
                <c:pt idx="892">
                  <c:v>0</c:v>
                </c:pt>
                <c:pt idx="893">
                  <c:v>2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2</c:v>
                </c:pt>
                <c:pt idx="906">
                  <c:v>3</c:v>
                </c:pt>
                <c:pt idx="907">
                  <c:v>1</c:v>
                </c:pt>
                <c:pt idx="908">
                  <c:v>3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3</c:v>
                </c:pt>
                <c:pt idx="913">
                  <c:v>1</c:v>
                </c:pt>
                <c:pt idx="914">
                  <c:v>2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2</c:v>
                </c:pt>
                <c:pt idx="926">
                  <c:v>2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5</c:v>
                </c:pt>
                <c:pt idx="933">
                  <c:v>0</c:v>
                </c:pt>
                <c:pt idx="934">
                  <c:v>2</c:v>
                </c:pt>
                <c:pt idx="935">
                  <c:v>0</c:v>
                </c:pt>
                <c:pt idx="936">
                  <c:v>2</c:v>
                </c:pt>
                <c:pt idx="937">
                  <c:v>5</c:v>
                </c:pt>
                <c:pt idx="938">
                  <c:v>2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2</c:v>
                </c:pt>
                <c:pt idx="947">
                  <c:v>1</c:v>
                </c:pt>
                <c:pt idx="948">
                  <c:v>0</c:v>
                </c:pt>
                <c:pt idx="949">
                  <c:v>3</c:v>
                </c:pt>
                <c:pt idx="950">
                  <c:v>0</c:v>
                </c:pt>
                <c:pt idx="951">
                  <c:v>2</c:v>
                </c:pt>
                <c:pt idx="952">
                  <c:v>1</c:v>
                </c:pt>
                <c:pt idx="953">
                  <c:v>2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1</c:v>
                </c:pt>
                <c:pt idx="963">
                  <c:v>3</c:v>
                </c:pt>
                <c:pt idx="964">
                  <c:v>2</c:v>
                </c:pt>
                <c:pt idx="965">
                  <c:v>1</c:v>
                </c:pt>
                <c:pt idx="966">
                  <c:v>2</c:v>
                </c:pt>
                <c:pt idx="967">
                  <c:v>1</c:v>
                </c:pt>
                <c:pt idx="968">
                  <c:v>2</c:v>
                </c:pt>
                <c:pt idx="969">
                  <c:v>5</c:v>
                </c:pt>
                <c:pt idx="970">
                  <c:v>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3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3</c:v>
                </c:pt>
                <c:pt idx="983">
                  <c:v>1</c:v>
                </c:pt>
                <c:pt idx="984">
                  <c:v>5</c:v>
                </c:pt>
                <c:pt idx="985">
                  <c:v>1</c:v>
                </c:pt>
                <c:pt idx="986">
                  <c:v>3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2</c:v>
                </c:pt>
                <c:pt idx="992">
                  <c:v>2</c:v>
                </c:pt>
                <c:pt idx="993">
                  <c:v>1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0</c:v>
                </c:pt>
                <c:pt idx="998">
                  <c:v>3</c:v>
                </c:pt>
                <c:pt idx="999">
                  <c:v>0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</c:v>
                </c:pt>
                <c:pt idx="1005">
                  <c:v>2</c:v>
                </c:pt>
                <c:pt idx="1006">
                  <c:v>2</c:v>
                </c:pt>
                <c:pt idx="1007">
                  <c:v>3</c:v>
                </c:pt>
                <c:pt idx="1008">
                  <c:v>2</c:v>
                </c:pt>
                <c:pt idx="1009">
                  <c:v>1</c:v>
                </c:pt>
                <c:pt idx="1010">
                  <c:v>0</c:v>
                </c:pt>
                <c:pt idx="1011">
                  <c:v>2</c:v>
                </c:pt>
                <c:pt idx="1012">
                  <c:v>4</c:v>
                </c:pt>
                <c:pt idx="1013">
                  <c:v>1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2</c:v>
                </c:pt>
                <c:pt idx="1018">
                  <c:v>3</c:v>
                </c:pt>
                <c:pt idx="1019">
                  <c:v>2</c:v>
                </c:pt>
                <c:pt idx="1020">
                  <c:v>0</c:v>
                </c:pt>
                <c:pt idx="1021">
                  <c:v>3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0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2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3</c:v>
                </c:pt>
                <c:pt idx="1036">
                  <c:v>2</c:v>
                </c:pt>
                <c:pt idx="1037">
                  <c:v>1</c:v>
                </c:pt>
                <c:pt idx="1038">
                  <c:v>0</c:v>
                </c:pt>
                <c:pt idx="1039">
                  <c:v>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2</c:v>
                </c:pt>
                <c:pt idx="1046">
                  <c:v>0</c:v>
                </c:pt>
                <c:pt idx="1047">
                  <c:v>1</c:v>
                </c:pt>
                <c:pt idx="1048">
                  <c:v>1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1</c:v>
                </c:pt>
                <c:pt idx="1053">
                  <c:v>3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1</c:v>
                </c:pt>
                <c:pt idx="1063">
                  <c:v>3</c:v>
                </c:pt>
                <c:pt idx="1064">
                  <c:v>4</c:v>
                </c:pt>
                <c:pt idx="1065">
                  <c:v>1</c:v>
                </c:pt>
                <c:pt idx="1066">
                  <c:v>2</c:v>
                </c:pt>
                <c:pt idx="1067">
                  <c:v>0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1</c:v>
                </c:pt>
                <c:pt idx="1077">
                  <c:v>0</c:v>
                </c:pt>
                <c:pt idx="1078">
                  <c:v>0</c:v>
                </c:pt>
                <c:pt idx="1079">
                  <c:v>3</c:v>
                </c:pt>
                <c:pt idx="1080">
                  <c:v>2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2</c:v>
                </c:pt>
                <c:pt idx="1085">
                  <c:v>5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3</c:v>
                </c:pt>
                <c:pt idx="1093">
                  <c:v>0</c:v>
                </c:pt>
                <c:pt idx="1094">
                  <c:v>4</c:v>
                </c:pt>
                <c:pt idx="1095">
                  <c:v>4</c:v>
                </c:pt>
                <c:pt idx="1096">
                  <c:v>2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2</c:v>
                </c:pt>
                <c:pt idx="1101">
                  <c:v>3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2</c:v>
                </c:pt>
                <c:pt idx="1108">
                  <c:v>1</c:v>
                </c:pt>
                <c:pt idx="1109">
                  <c:v>3</c:v>
                </c:pt>
                <c:pt idx="1110">
                  <c:v>1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0</c:v>
                </c:pt>
                <c:pt idx="1115">
                  <c:v>1</c:v>
                </c:pt>
                <c:pt idx="1116">
                  <c:v>5</c:v>
                </c:pt>
                <c:pt idx="1117">
                  <c:v>2</c:v>
                </c:pt>
                <c:pt idx="1118">
                  <c:v>1</c:v>
                </c:pt>
                <c:pt idx="1119">
                  <c:v>3</c:v>
                </c:pt>
                <c:pt idx="1120">
                  <c:v>0</c:v>
                </c:pt>
                <c:pt idx="1121">
                  <c:v>2</c:v>
                </c:pt>
                <c:pt idx="1122">
                  <c:v>3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2</c:v>
                </c:pt>
                <c:pt idx="1128">
                  <c:v>1</c:v>
                </c:pt>
                <c:pt idx="1129">
                  <c:v>0</c:v>
                </c:pt>
                <c:pt idx="1130">
                  <c:v>5</c:v>
                </c:pt>
                <c:pt idx="1131">
                  <c:v>2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1</c:v>
                </c:pt>
                <c:pt idx="1141">
                  <c:v>3</c:v>
                </c:pt>
                <c:pt idx="1142">
                  <c:v>0</c:v>
                </c:pt>
                <c:pt idx="1143">
                  <c:v>2</c:v>
                </c:pt>
                <c:pt idx="1144">
                  <c:v>2</c:v>
                </c:pt>
                <c:pt idx="1145">
                  <c:v>3</c:v>
                </c:pt>
                <c:pt idx="1146">
                  <c:v>0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3</c:v>
                </c:pt>
                <c:pt idx="1153">
                  <c:v>1</c:v>
                </c:pt>
                <c:pt idx="1154">
                  <c:v>4</c:v>
                </c:pt>
                <c:pt idx="1155">
                  <c:v>3</c:v>
                </c:pt>
                <c:pt idx="1156">
                  <c:v>0</c:v>
                </c:pt>
                <c:pt idx="1157">
                  <c:v>2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2</c:v>
                </c:pt>
                <c:pt idx="1162">
                  <c:v>1</c:v>
                </c:pt>
                <c:pt idx="1163">
                  <c:v>0</c:v>
                </c:pt>
                <c:pt idx="1164">
                  <c:v>1</c:v>
                </c:pt>
                <c:pt idx="1165">
                  <c:v>0</c:v>
                </c:pt>
                <c:pt idx="1166">
                  <c:v>0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1</c:v>
                </c:pt>
                <c:pt idx="1171">
                  <c:v>2</c:v>
                </c:pt>
                <c:pt idx="1172">
                  <c:v>0</c:v>
                </c:pt>
                <c:pt idx="1173">
                  <c:v>2</c:v>
                </c:pt>
                <c:pt idx="1174">
                  <c:v>2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1</c:v>
                </c:pt>
                <c:pt idx="1185">
                  <c:v>2</c:v>
                </c:pt>
                <c:pt idx="1186">
                  <c:v>3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2</c:v>
                </c:pt>
                <c:pt idx="1191">
                  <c:v>1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3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0</c:v>
                </c:pt>
                <c:pt idx="1203">
                  <c:v>1</c:v>
                </c:pt>
                <c:pt idx="1204">
                  <c:v>3</c:v>
                </c:pt>
                <c:pt idx="1205">
                  <c:v>1</c:v>
                </c:pt>
                <c:pt idx="1206">
                  <c:v>2</c:v>
                </c:pt>
                <c:pt idx="1207">
                  <c:v>2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2</c:v>
                </c:pt>
                <c:pt idx="1212">
                  <c:v>0</c:v>
                </c:pt>
                <c:pt idx="1213">
                  <c:v>2</c:v>
                </c:pt>
                <c:pt idx="1214">
                  <c:v>1</c:v>
                </c:pt>
                <c:pt idx="1215">
                  <c:v>0</c:v>
                </c:pt>
                <c:pt idx="1216">
                  <c:v>0</c:v>
                </c:pt>
                <c:pt idx="1217">
                  <c:v>2</c:v>
                </c:pt>
                <c:pt idx="1218">
                  <c:v>1</c:v>
                </c:pt>
                <c:pt idx="1219">
                  <c:v>3</c:v>
                </c:pt>
                <c:pt idx="1220">
                  <c:v>1</c:v>
                </c:pt>
                <c:pt idx="1221">
                  <c:v>2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2</c:v>
                </c:pt>
                <c:pt idx="1227">
                  <c:v>2</c:v>
                </c:pt>
                <c:pt idx="1228">
                  <c:v>0</c:v>
                </c:pt>
                <c:pt idx="1229">
                  <c:v>0</c:v>
                </c:pt>
                <c:pt idx="1230">
                  <c:v>3</c:v>
                </c:pt>
                <c:pt idx="1231">
                  <c:v>0</c:v>
                </c:pt>
                <c:pt idx="1232">
                  <c:v>3</c:v>
                </c:pt>
                <c:pt idx="1233">
                  <c:v>0</c:v>
                </c:pt>
                <c:pt idx="1234">
                  <c:v>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3</c:v>
                </c:pt>
                <c:pt idx="1239">
                  <c:v>1</c:v>
                </c:pt>
                <c:pt idx="1240">
                  <c:v>2</c:v>
                </c:pt>
                <c:pt idx="1241">
                  <c:v>2</c:v>
                </c:pt>
                <c:pt idx="1242">
                  <c:v>3</c:v>
                </c:pt>
                <c:pt idx="1243">
                  <c:v>0</c:v>
                </c:pt>
                <c:pt idx="1244">
                  <c:v>0</c:v>
                </c:pt>
                <c:pt idx="1245">
                  <c:v>5</c:v>
                </c:pt>
                <c:pt idx="1246">
                  <c:v>3</c:v>
                </c:pt>
                <c:pt idx="1247">
                  <c:v>4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4</c:v>
                </c:pt>
                <c:pt idx="1254">
                  <c:v>0</c:v>
                </c:pt>
                <c:pt idx="1255">
                  <c:v>0</c:v>
                </c:pt>
                <c:pt idx="1256">
                  <c:v>3</c:v>
                </c:pt>
                <c:pt idx="1257">
                  <c:v>1</c:v>
                </c:pt>
                <c:pt idx="1258">
                  <c:v>3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2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</c:v>
                </c:pt>
                <c:pt idx="1270">
                  <c:v>1</c:v>
                </c:pt>
                <c:pt idx="1271">
                  <c:v>0</c:v>
                </c:pt>
                <c:pt idx="1272">
                  <c:v>5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2</c:v>
                </c:pt>
                <c:pt idx="1280">
                  <c:v>0</c:v>
                </c:pt>
                <c:pt idx="1281">
                  <c:v>2</c:v>
                </c:pt>
                <c:pt idx="1282">
                  <c:v>0</c:v>
                </c:pt>
                <c:pt idx="1283">
                  <c:v>1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2</c:v>
                </c:pt>
                <c:pt idx="1289">
                  <c:v>1</c:v>
                </c:pt>
                <c:pt idx="1290">
                  <c:v>2</c:v>
                </c:pt>
                <c:pt idx="1291">
                  <c:v>0</c:v>
                </c:pt>
                <c:pt idx="1292">
                  <c:v>0</c:v>
                </c:pt>
                <c:pt idx="1293">
                  <c:v>3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2</c:v>
                </c:pt>
                <c:pt idx="1298">
                  <c:v>2</c:v>
                </c:pt>
                <c:pt idx="1299">
                  <c:v>1</c:v>
                </c:pt>
                <c:pt idx="1300">
                  <c:v>0</c:v>
                </c:pt>
                <c:pt idx="1301">
                  <c:v>3</c:v>
                </c:pt>
                <c:pt idx="1302">
                  <c:v>1</c:v>
                </c:pt>
                <c:pt idx="1303">
                  <c:v>0</c:v>
                </c:pt>
                <c:pt idx="1304">
                  <c:v>2</c:v>
                </c:pt>
                <c:pt idx="1305">
                  <c:v>0</c:v>
                </c:pt>
                <c:pt idx="1306">
                  <c:v>0</c:v>
                </c:pt>
                <c:pt idx="1307">
                  <c:v>4</c:v>
                </c:pt>
                <c:pt idx="1308">
                  <c:v>0</c:v>
                </c:pt>
                <c:pt idx="1309">
                  <c:v>2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3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4</c:v>
                </c:pt>
                <c:pt idx="1319">
                  <c:v>2</c:v>
                </c:pt>
                <c:pt idx="1320">
                  <c:v>3</c:v>
                </c:pt>
                <c:pt idx="1321">
                  <c:v>0</c:v>
                </c:pt>
                <c:pt idx="1322">
                  <c:v>0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0</c:v>
                </c:pt>
                <c:pt idx="1332">
                  <c:v>3</c:v>
                </c:pt>
                <c:pt idx="1333">
                  <c:v>3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A8-2E4B-BE81-B36F7AC87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079279"/>
        <c:axId val="2072234255"/>
      </c:scatterChart>
      <c:valAx>
        <c:axId val="2072079279"/>
        <c:scaling>
          <c:orientation val="minMax"/>
        </c:scaling>
        <c:delete val="0"/>
        <c:axPos val="b"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72234255"/>
        <c:crosses val="autoZero"/>
        <c:crossBetween val="midCat"/>
      </c:valAx>
      <c:valAx>
        <c:axId val="2072234255"/>
        <c:scaling>
          <c:orientation val="minMax"/>
        </c:scaling>
        <c:delete val="0"/>
        <c:axPos val="l"/>
        <c:majorGridlines>
          <c:spPr>
            <a:ln>
              <a:solidFill>
                <a:srgbClr val="EEEEFF"/>
              </a:solidFill>
            </a:ln>
          </c:spPr>
        </c:majorGridlines>
        <c:numFmt formatCode="0.000" sourceLinked="0"/>
        <c:majorTickMark val="out"/>
        <c:minorTickMark val="none"/>
        <c:tickLblPos val="nextTo"/>
        <c:crossAx val="207207927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/>
            </a:pPr>
            <a:r>
              <a:rPr lang="en-GB" sz="1000" b="0"/>
              <a:t>children vs bmi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3"/>
            <c:spPr>
              <a:ln/>
            </c:spPr>
          </c:marker>
          <c:xVal>
            <c:numRef>
              <c:f>insurance!$C$2:$C$1339</c:f>
              <c:numCache>
                <c:formatCode>General</c:formatCode>
                <c:ptCount val="1338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  <c:pt idx="937">
                  <c:v>24.225000000000001</c:v>
                </c:pt>
                <c:pt idx="938">
                  <c:v>26.18</c:v>
                </c:pt>
                <c:pt idx="939">
                  <c:v>29.48</c:v>
                </c:pt>
                <c:pt idx="940">
                  <c:v>23.21</c:v>
                </c:pt>
                <c:pt idx="941">
                  <c:v>46.09</c:v>
                </c:pt>
                <c:pt idx="942">
                  <c:v>40.185000000000002</c:v>
                </c:pt>
                <c:pt idx="943">
                  <c:v>22.61</c:v>
                </c:pt>
                <c:pt idx="944">
                  <c:v>39.93</c:v>
                </c:pt>
                <c:pt idx="945">
                  <c:v>35.799999999999997</c:v>
                </c:pt>
                <c:pt idx="946">
                  <c:v>35.799999999999997</c:v>
                </c:pt>
                <c:pt idx="947">
                  <c:v>34.200000000000003</c:v>
                </c:pt>
                <c:pt idx="948">
                  <c:v>31.254999999999999</c:v>
                </c:pt>
                <c:pt idx="949">
                  <c:v>29.7</c:v>
                </c:pt>
                <c:pt idx="950">
                  <c:v>18.335000000000001</c:v>
                </c:pt>
                <c:pt idx="951">
                  <c:v>42.9</c:v>
                </c:pt>
                <c:pt idx="952">
                  <c:v>28.405000000000001</c:v>
                </c:pt>
                <c:pt idx="953">
                  <c:v>30.2</c:v>
                </c:pt>
                <c:pt idx="954">
                  <c:v>27.835000000000001</c:v>
                </c:pt>
                <c:pt idx="955">
                  <c:v>39.49</c:v>
                </c:pt>
                <c:pt idx="956">
                  <c:v>30.8</c:v>
                </c:pt>
                <c:pt idx="957">
                  <c:v>26.79</c:v>
                </c:pt>
                <c:pt idx="958">
                  <c:v>34.96</c:v>
                </c:pt>
                <c:pt idx="959">
                  <c:v>36.67</c:v>
                </c:pt>
                <c:pt idx="960">
                  <c:v>39.615000000000002</c:v>
                </c:pt>
                <c:pt idx="961">
                  <c:v>25.9</c:v>
                </c:pt>
                <c:pt idx="962">
                  <c:v>35.200000000000003</c:v>
                </c:pt>
                <c:pt idx="963">
                  <c:v>24.795000000000002</c:v>
                </c:pt>
                <c:pt idx="964">
                  <c:v>36.765000000000001</c:v>
                </c:pt>
                <c:pt idx="965">
                  <c:v>27.1</c:v>
                </c:pt>
                <c:pt idx="966">
                  <c:v>24.795000000000002</c:v>
                </c:pt>
                <c:pt idx="967">
                  <c:v>25.364999999999998</c:v>
                </c:pt>
                <c:pt idx="968">
                  <c:v>25.745000000000001</c:v>
                </c:pt>
                <c:pt idx="969">
                  <c:v>34.32</c:v>
                </c:pt>
                <c:pt idx="970">
                  <c:v>28.16</c:v>
                </c:pt>
                <c:pt idx="971">
                  <c:v>23.56</c:v>
                </c:pt>
                <c:pt idx="972">
                  <c:v>20.234999999999999</c:v>
                </c:pt>
                <c:pt idx="973">
                  <c:v>40.5</c:v>
                </c:pt>
                <c:pt idx="974">
                  <c:v>35.42</c:v>
                </c:pt>
                <c:pt idx="975">
                  <c:v>22.895</c:v>
                </c:pt>
                <c:pt idx="976">
                  <c:v>40.15</c:v>
                </c:pt>
                <c:pt idx="977">
                  <c:v>29.15</c:v>
                </c:pt>
                <c:pt idx="978">
                  <c:v>39.994999999999997</c:v>
                </c:pt>
                <c:pt idx="979">
                  <c:v>29.92</c:v>
                </c:pt>
                <c:pt idx="980">
                  <c:v>25.46</c:v>
                </c:pt>
                <c:pt idx="981">
                  <c:v>21.375</c:v>
                </c:pt>
                <c:pt idx="982">
                  <c:v>25.9</c:v>
                </c:pt>
                <c:pt idx="983">
                  <c:v>30.59</c:v>
                </c:pt>
                <c:pt idx="984">
                  <c:v>30.114999999999998</c:v>
                </c:pt>
                <c:pt idx="985">
                  <c:v>25.8</c:v>
                </c:pt>
                <c:pt idx="986">
                  <c:v>30.114999999999998</c:v>
                </c:pt>
                <c:pt idx="987">
                  <c:v>27.645</c:v>
                </c:pt>
                <c:pt idx="988">
                  <c:v>34.674999999999997</c:v>
                </c:pt>
                <c:pt idx="989">
                  <c:v>20.52</c:v>
                </c:pt>
                <c:pt idx="990">
                  <c:v>19.8</c:v>
                </c:pt>
                <c:pt idx="991">
                  <c:v>27.835000000000001</c:v>
                </c:pt>
                <c:pt idx="992">
                  <c:v>31.6</c:v>
                </c:pt>
                <c:pt idx="993">
                  <c:v>28.27</c:v>
                </c:pt>
                <c:pt idx="994">
                  <c:v>20.045000000000002</c:v>
                </c:pt>
                <c:pt idx="995">
                  <c:v>23.274999999999999</c:v>
                </c:pt>
                <c:pt idx="996">
                  <c:v>34.1</c:v>
                </c:pt>
                <c:pt idx="997">
                  <c:v>36.85</c:v>
                </c:pt>
                <c:pt idx="998">
                  <c:v>36.29</c:v>
                </c:pt>
                <c:pt idx="999">
                  <c:v>26.885000000000002</c:v>
                </c:pt>
                <c:pt idx="1000">
                  <c:v>22.99</c:v>
                </c:pt>
                <c:pt idx="1001">
                  <c:v>32.700000000000003</c:v>
                </c:pt>
                <c:pt idx="1002">
                  <c:v>25.8</c:v>
                </c:pt>
                <c:pt idx="1003">
                  <c:v>29.6</c:v>
                </c:pt>
                <c:pt idx="1004">
                  <c:v>19.190000000000001</c:v>
                </c:pt>
                <c:pt idx="1005">
                  <c:v>31.73</c:v>
                </c:pt>
                <c:pt idx="1006">
                  <c:v>29.26</c:v>
                </c:pt>
                <c:pt idx="1007">
                  <c:v>28.215</c:v>
                </c:pt>
                <c:pt idx="1008">
                  <c:v>24.984999999999999</c:v>
                </c:pt>
                <c:pt idx="1009">
                  <c:v>27.74</c:v>
                </c:pt>
                <c:pt idx="1010">
                  <c:v>22.8</c:v>
                </c:pt>
                <c:pt idx="1011">
                  <c:v>20.13</c:v>
                </c:pt>
                <c:pt idx="1012">
                  <c:v>33.33</c:v>
                </c:pt>
                <c:pt idx="1013">
                  <c:v>32.299999999999997</c:v>
                </c:pt>
                <c:pt idx="1014">
                  <c:v>27.6</c:v>
                </c:pt>
                <c:pt idx="1015">
                  <c:v>25.46</c:v>
                </c:pt>
                <c:pt idx="1016">
                  <c:v>24.605</c:v>
                </c:pt>
                <c:pt idx="1017">
                  <c:v>34.200000000000003</c:v>
                </c:pt>
                <c:pt idx="1018">
                  <c:v>35.814999999999998</c:v>
                </c:pt>
                <c:pt idx="1019">
                  <c:v>32.68</c:v>
                </c:pt>
                <c:pt idx="1020">
                  <c:v>37</c:v>
                </c:pt>
                <c:pt idx="1021">
                  <c:v>31.02</c:v>
                </c:pt>
                <c:pt idx="1022">
                  <c:v>36.08</c:v>
                </c:pt>
                <c:pt idx="1023">
                  <c:v>23.32</c:v>
                </c:pt>
                <c:pt idx="1024">
                  <c:v>45.32</c:v>
                </c:pt>
                <c:pt idx="1025">
                  <c:v>34.6</c:v>
                </c:pt>
                <c:pt idx="1026">
                  <c:v>26.03</c:v>
                </c:pt>
                <c:pt idx="1027">
                  <c:v>18.715</c:v>
                </c:pt>
                <c:pt idx="1028">
                  <c:v>31.6</c:v>
                </c:pt>
                <c:pt idx="1029">
                  <c:v>17.29</c:v>
                </c:pt>
                <c:pt idx="1030">
                  <c:v>23.655000000000001</c:v>
                </c:pt>
                <c:pt idx="1031">
                  <c:v>35.200000000000003</c:v>
                </c:pt>
                <c:pt idx="1032">
                  <c:v>27.93</c:v>
                </c:pt>
                <c:pt idx="1033">
                  <c:v>21.565000000000001</c:v>
                </c:pt>
                <c:pt idx="1034">
                  <c:v>38.380000000000003</c:v>
                </c:pt>
                <c:pt idx="1035">
                  <c:v>23</c:v>
                </c:pt>
                <c:pt idx="1036">
                  <c:v>37.07</c:v>
                </c:pt>
                <c:pt idx="1037">
                  <c:v>30.495000000000001</c:v>
                </c:pt>
                <c:pt idx="1038">
                  <c:v>28.88</c:v>
                </c:pt>
                <c:pt idx="1039">
                  <c:v>27.265000000000001</c:v>
                </c:pt>
                <c:pt idx="1040">
                  <c:v>28.024999999999999</c:v>
                </c:pt>
                <c:pt idx="1041">
                  <c:v>23.085000000000001</c:v>
                </c:pt>
                <c:pt idx="1042">
                  <c:v>30.684999999999999</c:v>
                </c:pt>
                <c:pt idx="1043">
                  <c:v>25.8</c:v>
                </c:pt>
                <c:pt idx="1044">
                  <c:v>35.244999999999997</c:v>
                </c:pt>
                <c:pt idx="1045">
                  <c:v>24.7</c:v>
                </c:pt>
                <c:pt idx="1046">
                  <c:v>25.08</c:v>
                </c:pt>
                <c:pt idx="1047">
                  <c:v>52.58</c:v>
                </c:pt>
                <c:pt idx="1048">
                  <c:v>22.515000000000001</c:v>
                </c:pt>
                <c:pt idx="1049">
                  <c:v>30.9</c:v>
                </c:pt>
                <c:pt idx="1050">
                  <c:v>36.954999999999998</c:v>
                </c:pt>
                <c:pt idx="1051">
                  <c:v>26.41</c:v>
                </c:pt>
                <c:pt idx="1052">
                  <c:v>29.83</c:v>
                </c:pt>
                <c:pt idx="1053">
                  <c:v>29.8</c:v>
                </c:pt>
                <c:pt idx="1054">
                  <c:v>21.47</c:v>
                </c:pt>
                <c:pt idx="1055">
                  <c:v>27.645</c:v>
                </c:pt>
                <c:pt idx="1056">
                  <c:v>28.9</c:v>
                </c:pt>
                <c:pt idx="1057">
                  <c:v>31.79</c:v>
                </c:pt>
                <c:pt idx="1058">
                  <c:v>39.49</c:v>
                </c:pt>
                <c:pt idx="1059">
                  <c:v>33.82</c:v>
                </c:pt>
                <c:pt idx="1060">
                  <c:v>32.01</c:v>
                </c:pt>
                <c:pt idx="1061">
                  <c:v>27.94</c:v>
                </c:pt>
                <c:pt idx="1062">
                  <c:v>41.14</c:v>
                </c:pt>
                <c:pt idx="1063">
                  <c:v>28.594999999999999</c:v>
                </c:pt>
                <c:pt idx="1064">
                  <c:v>25.6</c:v>
                </c:pt>
                <c:pt idx="1065">
                  <c:v>25.3</c:v>
                </c:pt>
                <c:pt idx="1066">
                  <c:v>37.29</c:v>
                </c:pt>
                <c:pt idx="1067">
                  <c:v>42.655000000000001</c:v>
                </c:pt>
                <c:pt idx="1068">
                  <c:v>21.66</c:v>
                </c:pt>
                <c:pt idx="1069">
                  <c:v>31.9</c:v>
                </c:pt>
                <c:pt idx="1070">
                  <c:v>37.07</c:v>
                </c:pt>
                <c:pt idx="1071">
                  <c:v>31.445</c:v>
                </c:pt>
                <c:pt idx="1072">
                  <c:v>31.254999999999999</c:v>
                </c:pt>
                <c:pt idx="1073">
                  <c:v>28.88</c:v>
                </c:pt>
                <c:pt idx="1074">
                  <c:v>18.335000000000001</c:v>
                </c:pt>
                <c:pt idx="1075">
                  <c:v>29.59</c:v>
                </c:pt>
                <c:pt idx="1076">
                  <c:v>32</c:v>
                </c:pt>
                <c:pt idx="1077">
                  <c:v>26.03</c:v>
                </c:pt>
                <c:pt idx="1078">
                  <c:v>31.68</c:v>
                </c:pt>
                <c:pt idx="1079">
                  <c:v>33.659999999999997</c:v>
                </c:pt>
                <c:pt idx="1080">
                  <c:v>21.78</c:v>
                </c:pt>
                <c:pt idx="1081">
                  <c:v>27.835000000000001</c:v>
                </c:pt>
                <c:pt idx="1082">
                  <c:v>19.95</c:v>
                </c:pt>
                <c:pt idx="1083">
                  <c:v>31.5</c:v>
                </c:pt>
                <c:pt idx="1084">
                  <c:v>30.495000000000001</c:v>
                </c:pt>
                <c:pt idx="1085">
                  <c:v>18.3</c:v>
                </c:pt>
                <c:pt idx="1086">
                  <c:v>28.975000000000001</c:v>
                </c:pt>
                <c:pt idx="1087">
                  <c:v>31.54</c:v>
                </c:pt>
                <c:pt idx="1088">
                  <c:v>47.74</c:v>
                </c:pt>
                <c:pt idx="1089">
                  <c:v>22.1</c:v>
                </c:pt>
                <c:pt idx="1090">
                  <c:v>36.19</c:v>
                </c:pt>
                <c:pt idx="1091">
                  <c:v>29.83</c:v>
                </c:pt>
                <c:pt idx="1092">
                  <c:v>32.700000000000003</c:v>
                </c:pt>
                <c:pt idx="1093">
                  <c:v>30.4</c:v>
                </c:pt>
                <c:pt idx="1094">
                  <c:v>33.700000000000003</c:v>
                </c:pt>
                <c:pt idx="1095">
                  <c:v>31.35</c:v>
                </c:pt>
                <c:pt idx="1096">
                  <c:v>34.96</c:v>
                </c:pt>
                <c:pt idx="1097">
                  <c:v>33.770000000000003</c:v>
                </c:pt>
                <c:pt idx="1098">
                  <c:v>30.875</c:v>
                </c:pt>
                <c:pt idx="1099">
                  <c:v>33.99</c:v>
                </c:pt>
                <c:pt idx="1100">
                  <c:v>19.094999999999999</c:v>
                </c:pt>
                <c:pt idx="1101">
                  <c:v>28.6</c:v>
                </c:pt>
                <c:pt idx="1102">
                  <c:v>38.94</c:v>
                </c:pt>
                <c:pt idx="1103">
                  <c:v>36.08</c:v>
                </c:pt>
                <c:pt idx="1104">
                  <c:v>29.8</c:v>
                </c:pt>
                <c:pt idx="1105">
                  <c:v>31.24</c:v>
                </c:pt>
                <c:pt idx="1106">
                  <c:v>29.925000000000001</c:v>
                </c:pt>
                <c:pt idx="1107">
                  <c:v>26.22</c:v>
                </c:pt>
                <c:pt idx="1108">
                  <c:v>30</c:v>
                </c:pt>
                <c:pt idx="1109">
                  <c:v>20.350000000000001</c:v>
                </c:pt>
                <c:pt idx="1110">
                  <c:v>32.299999999999997</c:v>
                </c:pt>
                <c:pt idx="1111">
                  <c:v>38.39</c:v>
                </c:pt>
                <c:pt idx="1112">
                  <c:v>25.85</c:v>
                </c:pt>
                <c:pt idx="1113">
                  <c:v>26.315000000000001</c:v>
                </c:pt>
                <c:pt idx="1114">
                  <c:v>24.51</c:v>
                </c:pt>
                <c:pt idx="1115">
                  <c:v>32.67</c:v>
                </c:pt>
                <c:pt idx="1116">
                  <c:v>29.64</c:v>
                </c:pt>
                <c:pt idx="1117">
                  <c:v>33.33</c:v>
                </c:pt>
                <c:pt idx="1118">
                  <c:v>35.75</c:v>
                </c:pt>
                <c:pt idx="1119">
                  <c:v>19.95</c:v>
                </c:pt>
                <c:pt idx="1120">
                  <c:v>31.4</c:v>
                </c:pt>
                <c:pt idx="1121">
                  <c:v>38.17</c:v>
                </c:pt>
                <c:pt idx="1122">
                  <c:v>36.86</c:v>
                </c:pt>
                <c:pt idx="1123">
                  <c:v>32.395000000000003</c:v>
                </c:pt>
                <c:pt idx="1124">
                  <c:v>42.75</c:v>
                </c:pt>
                <c:pt idx="1125">
                  <c:v>25.08</c:v>
                </c:pt>
                <c:pt idx="1126">
                  <c:v>29.9</c:v>
                </c:pt>
                <c:pt idx="1127">
                  <c:v>35.86</c:v>
                </c:pt>
                <c:pt idx="1128">
                  <c:v>32.799999999999997</c:v>
                </c:pt>
                <c:pt idx="1129">
                  <c:v>18.600000000000001</c:v>
                </c:pt>
                <c:pt idx="1130">
                  <c:v>23.87</c:v>
                </c:pt>
                <c:pt idx="1131">
                  <c:v>45.9</c:v>
                </c:pt>
                <c:pt idx="1132">
                  <c:v>40.28</c:v>
                </c:pt>
                <c:pt idx="1133">
                  <c:v>18.335000000000001</c:v>
                </c:pt>
                <c:pt idx="1134">
                  <c:v>33.82</c:v>
                </c:pt>
                <c:pt idx="1135">
                  <c:v>28.12</c:v>
                </c:pt>
                <c:pt idx="1136">
                  <c:v>25</c:v>
                </c:pt>
                <c:pt idx="1137">
                  <c:v>22.23</c:v>
                </c:pt>
                <c:pt idx="1138">
                  <c:v>30.25</c:v>
                </c:pt>
                <c:pt idx="1139">
                  <c:v>32.49</c:v>
                </c:pt>
                <c:pt idx="1140">
                  <c:v>37.07</c:v>
                </c:pt>
                <c:pt idx="1141">
                  <c:v>32.6</c:v>
                </c:pt>
                <c:pt idx="1142">
                  <c:v>24.86</c:v>
                </c:pt>
                <c:pt idx="1143">
                  <c:v>32.340000000000003</c:v>
                </c:pt>
                <c:pt idx="1144">
                  <c:v>32.299999999999997</c:v>
                </c:pt>
                <c:pt idx="1145">
                  <c:v>32.774999999999999</c:v>
                </c:pt>
                <c:pt idx="1146">
                  <c:v>32.799999999999997</c:v>
                </c:pt>
                <c:pt idx="1147">
                  <c:v>31.92</c:v>
                </c:pt>
                <c:pt idx="1148">
                  <c:v>21.5</c:v>
                </c:pt>
                <c:pt idx="1149">
                  <c:v>34.1</c:v>
                </c:pt>
                <c:pt idx="1150">
                  <c:v>30.305</c:v>
                </c:pt>
                <c:pt idx="1151">
                  <c:v>36.479999999999997</c:v>
                </c:pt>
                <c:pt idx="1152">
                  <c:v>32.56</c:v>
                </c:pt>
                <c:pt idx="1153">
                  <c:v>35.814999999999998</c:v>
                </c:pt>
                <c:pt idx="1154">
                  <c:v>27.93</c:v>
                </c:pt>
                <c:pt idx="1155">
                  <c:v>22.135000000000002</c:v>
                </c:pt>
                <c:pt idx="1156">
                  <c:v>44.88</c:v>
                </c:pt>
                <c:pt idx="1157">
                  <c:v>23.18</c:v>
                </c:pt>
                <c:pt idx="1158">
                  <c:v>30.59</c:v>
                </c:pt>
                <c:pt idx="1159">
                  <c:v>41.1</c:v>
                </c:pt>
                <c:pt idx="1160">
                  <c:v>34.58</c:v>
                </c:pt>
                <c:pt idx="1161">
                  <c:v>42.13</c:v>
                </c:pt>
                <c:pt idx="1162">
                  <c:v>38.83</c:v>
                </c:pt>
                <c:pt idx="1163">
                  <c:v>28.215</c:v>
                </c:pt>
                <c:pt idx="1164">
                  <c:v>28.31</c:v>
                </c:pt>
                <c:pt idx="1165">
                  <c:v>26.125</c:v>
                </c:pt>
                <c:pt idx="1166">
                  <c:v>40.369999999999997</c:v>
                </c:pt>
                <c:pt idx="1167">
                  <c:v>24.6</c:v>
                </c:pt>
                <c:pt idx="1168">
                  <c:v>35.200000000000003</c:v>
                </c:pt>
                <c:pt idx="1169">
                  <c:v>34.104999999999997</c:v>
                </c:pt>
                <c:pt idx="1170">
                  <c:v>27.36</c:v>
                </c:pt>
                <c:pt idx="1171">
                  <c:v>26.7</c:v>
                </c:pt>
                <c:pt idx="1172">
                  <c:v>41.91</c:v>
                </c:pt>
                <c:pt idx="1173">
                  <c:v>29.26</c:v>
                </c:pt>
                <c:pt idx="1174">
                  <c:v>32.11</c:v>
                </c:pt>
                <c:pt idx="1175">
                  <c:v>27.1</c:v>
                </c:pt>
                <c:pt idx="1176">
                  <c:v>24.13</c:v>
                </c:pt>
                <c:pt idx="1177">
                  <c:v>27.4</c:v>
                </c:pt>
                <c:pt idx="1178">
                  <c:v>34.865000000000002</c:v>
                </c:pt>
                <c:pt idx="1179">
                  <c:v>29.81</c:v>
                </c:pt>
                <c:pt idx="1180">
                  <c:v>41.325000000000003</c:v>
                </c:pt>
                <c:pt idx="1181">
                  <c:v>29.925000000000001</c:v>
                </c:pt>
                <c:pt idx="1182">
                  <c:v>30.3</c:v>
                </c:pt>
                <c:pt idx="1183">
                  <c:v>27.36</c:v>
                </c:pt>
                <c:pt idx="1184">
                  <c:v>28.49</c:v>
                </c:pt>
                <c:pt idx="1185">
                  <c:v>23.56</c:v>
                </c:pt>
                <c:pt idx="1186">
                  <c:v>35.625</c:v>
                </c:pt>
                <c:pt idx="1187">
                  <c:v>32.68</c:v>
                </c:pt>
                <c:pt idx="1188">
                  <c:v>25.27</c:v>
                </c:pt>
                <c:pt idx="1189">
                  <c:v>28</c:v>
                </c:pt>
                <c:pt idx="1190">
                  <c:v>32.774999999999999</c:v>
                </c:pt>
                <c:pt idx="1191">
                  <c:v>21.754999999999999</c:v>
                </c:pt>
                <c:pt idx="1192">
                  <c:v>32.395000000000003</c:v>
                </c:pt>
                <c:pt idx="1193">
                  <c:v>36.575000000000003</c:v>
                </c:pt>
                <c:pt idx="1194">
                  <c:v>21.754999999999999</c:v>
                </c:pt>
                <c:pt idx="1195">
                  <c:v>27.93</c:v>
                </c:pt>
                <c:pt idx="1196">
                  <c:v>30.02</c:v>
                </c:pt>
                <c:pt idx="1197">
                  <c:v>33.549999999999997</c:v>
                </c:pt>
                <c:pt idx="1198">
                  <c:v>29.355</c:v>
                </c:pt>
                <c:pt idx="1199">
                  <c:v>25.8</c:v>
                </c:pt>
                <c:pt idx="1200">
                  <c:v>24.32</c:v>
                </c:pt>
                <c:pt idx="1201">
                  <c:v>40.375</c:v>
                </c:pt>
                <c:pt idx="1202">
                  <c:v>32.11</c:v>
                </c:pt>
                <c:pt idx="1203">
                  <c:v>32.299999999999997</c:v>
                </c:pt>
                <c:pt idx="1204">
                  <c:v>27.28</c:v>
                </c:pt>
                <c:pt idx="1205">
                  <c:v>17.86</c:v>
                </c:pt>
                <c:pt idx="1206">
                  <c:v>34.799999999999997</c:v>
                </c:pt>
                <c:pt idx="1207">
                  <c:v>33.4</c:v>
                </c:pt>
                <c:pt idx="1208">
                  <c:v>25.555</c:v>
                </c:pt>
                <c:pt idx="1209">
                  <c:v>37.1</c:v>
                </c:pt>
                <c:pt idx="1210">
                  <c:v>30.875</c:v>
                </c:pt>
                <c:pt idx="1211">
                  <c:v>34.1</c:v>
                </c:pt>
                <c:pt idx="1212">
                  <c:v>21.47</c:v>
                </c:pt>
                <c:pt idx="1213">
                  <c:v>33.299999999999997</c:v>
                </c:pt>
                <c:pt idx="1214">
                  <c:v>31.254999999999999</c:v>
                </c:pt>
                <c:pt idx="1215">
                  <c:v>39.14</c:v>
                </c:pt>
                <c:pt idx="1216">
                  <c:v>25.08</c:v>
                </c:pt>
                <c:pt idx="1217">
                  <c:v>37.29</c:v>
                </c:pt>
                <c:pt idx="1218">
                  <c:v>34.6</c:v>
                </c:pt>
                <c:pt idx="1219">
                  <c:v>30.21</c:v>
                </c:pt>
                <c:pt idx="1220">
                  <c:v>21.945</c:v>
                </c:pt>
                <c:pt idx="1221">
                  <c:v>24.97</c:v>
                </c:pt>
                <c:pt idx="1222">
                  <c:v>25.3</c:v>
                </c:pt>
                <c:pt idx="1223">
                  <c:v>24.42</c:v>
                </c:pt>
                <c:pt idx="1224">
                  <c:v>23.94</c:v>
                </c:pt>
                <c:pt idx="1225">
                  <c:v>39.82</c:v>
                </c:pt>
                <c:pt idx="1226">
                  <c:v>16.815000000000001</c:v>
                </c:pt>
                <c:pt idx="1227">
                  <c:v>37.18</c:v>
                </c:pt>
                <c:pt idx="1228">
                  <c:v>34.43</c:v>
                </c:pt>
                <c:pt idx="1229">
                  <c:v>30.305</c:v>
                </c:pt>
                <c:pt idx="1230">
                  <c:v>34.484999999999999</c:v>
                </c:pt>
                <c:pt idx="1231">
                  <c:v>21.8</c:v>
                </c:pt>
                <c:pt idx="1232">
                  <c:v>24.605</c:v>
                </c:pt>
                <c:pt idx="1233">
                  <c:v>23.3</c:v>
                </c:pt>
                <c:pt idx="1234">
                  <c:v>27.83</c:v>
                </c:pt>
                <c:pt idx="1235">
                  <c:v>31.065000000000001</c:v>
                </c:pt>
                <c:pt idx="1236">
                  <c:v>21.66</c:v>
                </c:pt>
                <c:pt idx="1237">
                  <c:v>28.215</c:v>
                </c:pt>
                <c:pt idx="1238">
                  <c:v>22.704999999999998</c:v>
                </c:pt>
                <c:pt idx="1239">
                  <c:v>42.13</c:v>
                </c:pt>
                <c:pt idx="1240">
                  <c:v>41.8</c:v>
                </c:pt>
                <c:pt idx="1241">
                  <c:v>36.96</c:v>
                </c:pt>
                <c:pt idx="1242">
                  <c:v>21.28</c:v>
                </c:pt>
                <c:pt idx="1243">
                  <c:v>33.11</c:v>
                </c:pt>
                <c:pt idx="1244">
                  <c:v>33.33</c:v>
                </c:pt>
                <c:pt idx="1245">
                  <c:v>24.3</c:v>
                </c:pt>
                <c:pt idx="1246">
                  <c:v>25.7</c:v>
                </c:pt>
                <c:pt idx="1247">
                  <c:v>29.4</c:v>
                </c:pt>
                <c:pt idx="1248">
                  <c:v>39.82</c:v>
                </c:pt>
                <c:pt idx="1249">
                  <c:v>33.630000000000003</c:v>
                </c:pt>
                <c:pt idx="1250">
                  <c:v>29.83</c:v>
                </c:pt>
                <c:pt idx="1251">
                  <c:v>19.8</c:v>
                </c:pt>
                <c:pt idx="1252">
                  <c:v>27.3</c:v>
                </c:pt>
                <c:pt idx="1253">
                  <c:v>29.3</c:v>
                </c:pt>
                <c:pt idx="1254">
                  <c:v>27.72</c:v>
                </c:pt>
                <c:pt idx="1255">
                  <c:v>37.9</c:v>
                </c:pt>
                <c:pt idx="1256">
                  <c:v>36.384999999999998</c:v>
                </c:pt>
                <c:pt idx="1257">
                  <c:v>27.645</c:v>
                </c:pt>
                <c:pt idx="1258">
                  <c:v>37.715000000000003</c:v>
                </c:pt>
                <c:pt idx="1259">
                  <c:v>23.18</c:v>
                </c:pt>
                <c:pt idx="1260">
                  <c:v>20.52</c:v>
                </c:pt>
                <c:pt idx="1261">
                  <c:v>37.1</c:v>
                </c:pt>
                <c:pt idx="1262">
                  <c:v>28.05</c:v>
                </c:pt>
                <c:pt idx="1263">
                  <c:v>29.9</c:v>
                </c:pt>
                <c:pt idx="1264">
                  <c:v>33.344999999999999</c:v>
                </c:pt>
                <c:pt idx="1265">
                  <c:v>23.76</c:v>
                </c:pt>
                <c:pt idx="1266">
                  <c:v>30.5</c:v>
                </c:pt>
                <c:pt idx="1267">
                  <c:v>31.065000000000001</c:v>
                </c:pt>
                <c:pt idx="1268">
                  <c:v>33.299999999999997</c:v>
                </c:pt>
                <c:pt idx="1269">
                  <c:v>27.5</c:v>
                </c:pt>
                <c:pt idx="1270">
                  <c:v>33.914999999999999</c:v>
                </c:pt>
                <c:pt idx="1271">
                  <c:v>34.484999999999999</c:v>
                </c:pt>
                <c:pt idx="1272">
                  <c:v>25.52</c:v>
                </c:pt>
                <c:pt idx="1273">
                  <c:v>27.61</c:v>
                </c:pt>
                <c:pt idx="1274">
                  <c:v>27.06</c:v>
                </c:pt>
                <c:pt idx="1275">
                  <c:v>23.7</c:v>
                </c:pt>
                <c:pt idx="1276">
                  <c:v>30.4</c:v>
                </c:pt>
                <c:pt idx="1277">
                  <c:v>29.734999999999999</c:v>
                </c:pt>
                <c:pt idx="1278">
                  <c:v>29.925000000000001</c:v>
                </c:pt>
                <c:pt idx="1279">
                  <c:v>26.79</c:v>
                </c:pt>
                <c:pt idx="1280">
                  <c:v>33.33</c:v>
                </c:pt>
                <c:pt idx="1281">
                  <c:v>27.645</c:v>
                </c:pt>
                <c:pt idx="1282">
                  <c:v>21.66</c:v>
                </c:pt>
                <c:pt idx="1283">
                  <c:v>30.03</c:v>
                </c:pt>
                <c:pt idx="1284">
                  <c:v>36.299999999999997</c:v>
                </c:pt>
                <c:pt idx="1285">
                  <c:v>24.32</c:v>
                </c:pt>
                <c:pt idx="1286">
                  <c:v>17.29</c:v>
                </c:pt>
                <c:pt idx="1287">
                  <c:v>25.9</c:v>
                </c:pt>
                <c:pt idx="1288">
                  <c:v>39.4</c:v>
                </c:pt>
                <c:pt idx="1289">
                  <c:v>34.32</c:v>
                </c:pt>
                <c:pt idx="1290">
                  <c:v>19.95</c:v>
                </c:pt>
                <c:pt idx="1291">
                  <c:v>34.9</c:v>
                </c:pt>
                <c:pt idx="1292">
                  <c:v>23.21</c:v>
                </c:pt>
                <c:pt idx="1293">
                  <c:v>25.745000000000001</c:v>
                </c:pt>
                <c:pt idx="1294">
                  <c:v>25.175000000000001</c:v>
                </c:pt>
                <c:pt idx="1295">
                  <c:v>22</c:v>
                </c:pt>
                <c:pt idx="1296">
                  <c:v>26.125</c:v>
                </c:pt>
                <c:pt idx="1297">
                  <c:v>26.51</c:v>
                </c:pt>
                <c:pt idx="1298">
                  <c:v>27.454999999999998</c:v>
                </c:pt>
                <c:pt idx="1299">
                  <c:v>25.745000000000001</c:v>
                </c:pt>
                <c:pt idx="1300">
                  <c:v>30.36</c:v>
                </c:pt>
                <c:pt idx="1301">
                  <c:v>30.875</c:v>
                </c:pt>
                <c:pt idx="1302">
                  <c:v>20.8</c:v>
                </c:pt>
                <c:pt idx="1303">
                  <c:v>27.8</c:v>
                </c:pt>
                <c:pt idx="1304">
                  <c:v>24.605</c:v>
                </c:pt>
                <c:pt idx="1305">
                  <c:v>27.72</c:v>
                </c:pt>
                <c:pt idx="1306">
                  <c:v>21.85</c:v>
                </c:pt>
                <c:pt idx="1307">
                  <c:v>28.12</c:v>
                </c:pt>
                <c:pt idx="1308">
                  <c:v>30.2</c:v>
                </c:pt>
                <c:pt idx="1309">
                  <c:v>32.200000000000003</c:v>
                </c:pt>
                <c:pt idx="1310">
                  <c:v>26.315000000000001</c:v>
                </c:pt>
                <c:pt idx="1311">
                  <c:v>26.695</c:v>
                </c:pt>
                <c:pt idx="1312">
                  <c:v>42.9</c:v>
                </c:pt>
                <c:pt idx="1313">
                  <c:v>34.700000000000003</c:v>
                </c:pt>
                <c:pt idx="1314">
                  <c:v>23.655000000000001</c:v>
                </c:pt>
                <c:pt idx="1315">
                  <c:v>28.31</c:v>
                </c:pt>
                <c:pt idx="1316">
                  <c:v>20.6</c:v>
                </c:pt>
                <c:pt idx="1317">
                  <c:v>53.13</c:v>
                </c:pt>
                <c:pt idx="1318">
                  <c:v>39.71</c:v>
                </c:pt>
                <c:pt idx="1319">
                  <c:v>26.315000000000001</c:v>
                </c:pt>
                <c:pt idx="1320">
                  <c:v>31.065000000000001</c:v>
                </c:pt>
                <c:pt idx="1321">
                  <c:v>26.695</c:v>
                </c:pt>
                <c:pt idx="1322">
                  <c:v>38.83</c:v>
                </c:pt>
                <c:pt idx="1323">
                  <c:v>40.369999999999997</c:v>
                </c:pt>
                <c:pt idx="1324">
                  <c:v>25.934999999999999</c:v>
                </c:pt>
                <c:pt idx="1325">
                  <c:v>33.534999999999997</c:v>
                </c:pt>
                <c:pt idx="1326">
                  <c:v>32.869999999999997</c:v>
                </c:pt>
                <c:pt idx="1327">
                  <c:v>30.03</c:v>
                </c:pt>
                <c:pt idx="1328">
                  <c:v>24.225000000000001</c:v>
                </c:pt>
                <c:pt idx="1329">
                  <c:v>38.6</c:v>
                </c:pt>
                <c:pt idx="1330">
                  <c:v>25.74</c:v>
                </c:pt>
                <c:pt idx="1331">
                  <c:v>33.4</c:v>
                </c:pt>
                <c:pt idx="1332">
                  <c:v>44.7</c:v>
                </c:pt>
                <c:pt idx="1333">
                  <c:v>30.97</c:v>
                </c:pt>
                <c:pt idx="1334">
                  <c:v>31.92</c:v>
                </c:pt>
                <c:pt idx="1335">
                  <c:v>36.85</c:v>
                </c:pt>
                <c:pt idx="1336">
                  <c:v>25.8</c:v>
                </c:pt>
                <c:pt idx="1337">
                  <c:v>29.07</c:v>
                </c:pt>
              </c:numCache>
            </c:numRef>
          </c:xVal>
          <c:yVal>
            <c:numRef>
              <c:f>insurance!$D$2:$D$1339</c:f>
              <c:numCache>
                <c:formatCode>General</c:formatCode>
                <c:ptCount val="133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3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0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5</c:v>
                </c:pt>
                <c:pt idx="72">
                  <c:v>3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4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2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3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2</c:v>
                </c:pt>
                <c:pt idx="164">
                  <c:v>0</c:v>
                </c:pt>
                <c:pt idx="165">
                  <c:v>4</c:v>
                </c:pt>
                <c:pt idx="166">
                  <c:v>5</c:v>
                </c:pt>
                <c:pt idx="167">
                  <c:v>3</c:v>
                </c:pt>
                <c:pt idx="168">
                  <c:v>1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3</c:v>
                </c:pt>
                <c:pt idx="183">
                  <c:v>0</c:v>
                </c:pt>
                <c:pt idx="184">
                  <c:v>2</c:v>
                </c:pt>
                <c:pt idx="185">
                  <c:v>3</c:v>
                </c:pt>
                <c:pt idx="186">
                  <c:v>2</c:v>
                </c:pt>
                <c:pt idx="187">
                  <c:v>3</c:v>
                </c:pt>
                <c:pt idx="188">
                  <c:v>1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2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4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3</c:v>
                </c:pt>
                <c:pt idx="223">
                  <c:v>0</c:v>
                </c:pt>
                <c:pt idx="224">
                  <c:v>0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0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0</c:v>
                </c:pt>
                <c:pt idx="237">
                  <c:v>2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3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3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3</c:v>
                </c:pt>
                <c:pt idx="263">
                  <c:v>0</c:v>
                </c:pt>
                <c:pt idx="264">
                  <c:v>3</c:v>
                </c:pt>
                <c:pt idx="265">
                  <c:v>3</c:v>
                </c:pt>
                <c:pt idx="266">
                  <c:v>1</c:v>
                </c:pt>
                <c:pt idx="267">
                  <c:v>3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2</c:v>
                </c:pt>
                <c:pt idx="277">
                  <c:v>0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3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3</c:v>
                </c:pt>
                <c:pt idx="290">
                  <c:v>0</c:v>
                </c:pt>
                <c:pt idx="291">
                  <c:v>1</c:v>
                </c:pt>
                <c:pt idx="292">
                  <c:v>2</c:v>
                </c:pt>
                <c:pt idx="293">
                  <c:v>0</c:v>
                </c:pt>
                <c:pt idx="294">
                  <c:v>3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</c:v>
                </c:pt>
                <c:pt idx="345">
                  <c:v>3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</c:v>
                </c:pt>
                <c:pt idx="357">
                  <c:v>3</c:v>
                </c:pt>
                <c:pt idx="358">
                  <c:v>0</c:v>
                </c:pt>
                <c:pt idx="359">
                  <c:v>0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2</c:v>
                </c:pt>
                <c:pt idx="369">
                  <c:v>3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2</c:v>
                </c:pt>
                <c:pt idx="374">
                  <c:v>0</c:v>
                </c:pt>
                <c:pt idx="375">
                  <c:v>0</c:v>
                </c:pt>
                <c:pt idx="376">
                  <c:v>3</c:v>
                </c:pt>
                <c:pt idx="377">
                  <c:v>0</c:v>
                </c:pt>
                <c:pt idx="378">
                  <c:v>3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2</c:v>
                </c:pt>
                <c:pt idx="384">
                  <c:v>2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3</c:v>
                </c:pt>
                <c:pt idx="390">
                  <c:v>4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2</c:v>
                </c:pt>
                <c:pt idx="395">
                  <c:v>0</c:v>
                </c:pt>
                <c:pt idx="396">
                  <c:v>3</c:v>
                </c:pt>
                <c:pt idx="397">
                  <c:v>0</c:v>
                </c:pt>
                <c:pt idx="398">
                  <c:v>2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3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1</c:v>
                </c:pt>
                <c:pt idx="408">
                  <c:v>3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2</c:v>
                </c:pt>
                <c:pt idx="413">
                  <c:v>5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2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2</c:v>
                </c:pt>
                <c:pt idx="425">
                  <c:v>5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3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3</c:v>
                </c:pt>
                <c:pt idx="438">
                  <c:v>5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4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2</c:v>
                </c:pt>
                <c:pt idx="457">
                  <c:v>0</c:v>
                </c:pt>
                <c:pt idx="458">
                  <c:v>0</c:v>
                </c:pt>
                <c:pt idx="459">
                  <c:v>3</c:v>
                </c:pt>
                <c:pt idx="460">
                  <c:v>3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3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</c:v>
                </c:pt>
                <c:pt idx="481">
                  <c:v>2</c:v>
                </c:pt>
                <c:pt idx="482">
                  <c:v>0</c:v>
                </c:pt>
                <c:pt idx="483">
                  <c:v>1</c:v>
                </c:pt>
                <c:pt idx="484">
                  <c:v>3</c:v>
                </c:pt>
                <c:pt idx="485">
                  <c:v>0</c:v>
                </c:pt>
                <c:pt idx="486">
                  <c:v>3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1</c:v>
                </c:pt>
                <c:pt idx="505">
                  <c:v>3</c:v>
                </c:pt>
                <c:pt idx="506">
                  <c:v>1</c:v>
                </c:pt>
                <c:pt idx="507">
                  <c:v>2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2</c:v>
                </c:pt>
                <c:pt idx="527">
                  <c:v>1</c:v>
                </c:pt>
                <c:pt idx="528">
                  <c:v>1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2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0</c:v>
                </c:pt>
                <c:pt idx="540">
                  <c:v>3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2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1</c:v>
                </c:pt>
                <c:pt idx="557">
                  <c:v>0</c:v>
                </c:pt>
                <c:pt idx="558">
                  <c:v>3</c:v>
                </c:pt>
                <c:pt idx="559">
                  <c:v>0</c:v>
                </c:pt>
                <c:pt idx="560">
                  <c:v>2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2</c:v>
                </c:pt>
                <c:pt idx="565">
                  <c:v>0</c:v>
                </c:pt>
                <c:pt idx="566">
                  <c:v>1</c:v>
                </c:pt>
                <c:pt idx="567">
                  <c:v>2</c:v>
                </c:pt>
                <c:pt idx="568">
                  <c:v>5</c:v>
                </c:pt>
                <c:pt idx="569">
                  <c:v>2</c:v>
                </c:pt>
                <c:pt idx="570">
                  <c:v>0</c:v>
                </c:pt>
                <c:pt idx="571">
                  <c:v>1</c:v>
                </c:pt>
                <c:pt idx="572">
                  <c:v>2</c:v>
                </c:pt>
                <c:pt idx="573">
                  <c:v>1</c:v>
                </c:pt>
                <c:pt idx="574">
                  <c:v>2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3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2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3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3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2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2</c:v>
                </c:pt>
                <c:pt idx="638">
                  <c:v>0</c:v>
                </c:pt>
                <c:pt idx="639">
                  <c:v>4</c:v>
                </c:pt>
                <c:pt idx="640">
                  <c:v>5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2</c:v>
                </c:pt>
                <c:pt idx="645">
                  <c:v>3</c:v>
                </c:pt>
                <c:pt idx="646">
                  <c:v>1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2</c:v>
                </c:pt>
                <c:pt idx="651">
                  <c:v>1</c:v>
                </c:pt>
                <c:pt idx="652">
                  <c:v>0</c:v>
                </c:pt>
                <c:pt idx="653">
                  <c:v>2</c:v>
                </c:pt>
                <c:pt idx="654">
                  <c:v>0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4</c:v>
                </c:pt>
                <c:pt idx="660">
                  <c:v>3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0</c:v>
                </c:pt>
                <c:pt idx="669">
                  <c:v>1</c:v>
                </c:pt>
                <c:pt idx="670">
                  <c:v>3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2</c:v>
                </c:pt>
                <c:pt idx="680">
                  <c:v>1</c:v>
                </c:pt>
                <c:pt idx="681">
                  <c:v>0</c:v>
                </c:pt>
                <c:pt idx="682">
                  <c:v>2</c:v>
                </c:pt>
                <c:pt idx="683">
                  <c:v>0</c:v>
                </c:pt>
                <c:pt idx="684">
                  <c:v>1</c:v>
                </c:pt>
                <c:pt idx="685">
                  <c:v>2</c:v>
                </c:pt>
                <c:pt idx="686">
                  <c:v>2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2</c:v>
                </c:pt>
                <c:pt idx="697">
                  <c:v>1</c:v>
                </c:pt>
                <c:pt idx="698">
                  <c:v>0</c:v>
                </c:pt>
                <c:pt idx="699">
                  <c:v>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0</c:v>
                </c:pt>
                <c:pt idx="707">
                  <c:v>3</c:v>
                </c:pt>
                <c:pt idx="708">
                  <c:v>3</c:v>
                </c:pt>
                <c:pt idx="709">
                  <c:v>0</c:v>
                </c:pt>
                <c:pt idx="710">
                  <c:v>1</c:v>
                </c:pt>
                <c:pt idx="711">
                  <c:v>2</c:v>
                </c:pt>
                <c:pt idx="712">
                  <c:v>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2</c:v>
                </c:pt>
                <c:pt idx="719">
                  <c:v>0</c:v>
                </c:pt>
                <c:pt idx="720">
                  <c:v>0</c:v>
                </c:pt>
                <c:pt idx="721">
                  <c:v>3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3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3</c:v>
                </c:pt>
                <c:pt idx="731">
                  <c:v>1</c:v>
                </c:pt>
                <c:pt idx="732">
                  <c:v>3</c:v>
                </c:pt>
                <c:pt idx="733">
                  <c:v>1</c:v>
                </c:pt>
                <c:pt idx="734">
                  <c:v>3</c:v>
                </c:pt>
                <c:pt idx="735">
                  <c:v>1</c:v>
                </c:pt>
                <c:pt idx="736">
                  <c:v>0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2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4</c:v>
                </c:pt>
                <c:pt idx="755">
                  <c:v>2</c:v>
                </c:pt>
                <c:pt idx="756">
                  <c:v>3</c:v>
                </c:pt>
                <c:pt idx="757">
                  <c:v>0</c:v>
                </c:pt>
                <c:pt idx="758">
                  <c:v>3</c:v>
                </c:pt>
                <c:pt idx="759">
                  <c:v>0</c:v>
                </c:pt>
                <c:pt idx="760">
                  <c:v>2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2</c:v>
                </c:pt>
                <c:pt idx="770">
                  <c:v>3</c:v>
                </c:pt>
                <c:pt idx="771">
                  <c:v>2</c:v>
                </c:pt>
                <c:pt idx="772">
                  <c:v>0</c:v>
                </c:pt>
                <c:pt idx="773">
                  <c:v>0</c:v>
                </c:pt>
                <c:pt idx="774">
                  <c:v>2</c:v>
                </c:pt>
                <c:pt idx="775">
                  <c:v>3</c:v>
                </c:pt>
                <c:pt idx="776">
                  <c:v>2</c:v>
                </c:pt>
                <c:pt idx="777">
                  <c:v>0</c:v>
                </c:pt>
                <c:pt idx="778">
                  <c:v>3</c:v>
                </c:pt>
                <c:pt idx="779">
                  <c:v>0</c:v>
                </c:pt>
                <c:pt idx="780">
                  <c:v>3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0</c:v>
                </c:pt>
                <c:pt idx="788">
                  <c:v>3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2</c:v>
                </c:pt>
                <c:pt idx="797">
                  <c:v>1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0</c:v>
                </c:pt>
                <c:pt idx="817">
                  <c:v>3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3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0</c:v>
                </c:pt>
                <c:pt idx="834">
                  <c:v>1</c:v>
                </c:pt>
                <c:pt idx="835">
                  <c:v>2</c:v>
                </c:pt>
                <c:pt idx="836">
                  <c:v>0</c:v>
                </c:pt>
                <c:pt idx="837">
                  <c:v>0</c:v>
                </c:pt>
                <c:pt idx="838">
                  <c:v>2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2</c:v>
                </c:pt>
                <c:pt idx="854">
                  <c:v>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2</c:v>
                </c:pt>
                <c:pt idx="861">
                  <c:v>3</c:v>
                </c:pt>
                <c:pt idx="862">
                  <c:v>2</c:v>
                </c:pt>
                <c:pt idx="863">
                  <c:v>0</c:v>
                </c:pt>
                <c:pt idx="864">
                  <c:v>0</c:v>
                </c:pt>
                <c:pt idx="865">
                  <c:v>2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3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3</c:v>
                </c:pt>
                <c:pt idx="875">
                  <c:v>0</c:v>
                </c:pt>
                <c:pt idx="876">
                  <c:v>1</c:v>
                </c:pt>
                <c:pt idx="877">
                  <c:v>5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1</c:v>
                </c:pt>
                <c:pt idx="882">
                  <c:v>0</c:v>
                </c:pt>
                <c:pt idx="883">
                  <c:v>3</c:v>
                </c:pt>
                <c:pt idx="884">
                  <c:v>4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4</c:v>
                </c:pt>
                <c:pt idx="892">
                  <c:v>0</c:v>
                </c:pt>
                <c:pt idx="893">
                  <c:v>2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2</c:v>
                </c:pt>
                <c:pt idx="906">
                  <c:v>3</c:v>
                </c:pt>
                <c:pt idx="907">
                  <c:v>1</c:v>
                </c:pt>
                <c:pt idx="908">
                  <c:v>3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3</c:v>
                </c:pt>
                <c:pt idx="913">
                  <c:v>1</c:v>
                </c:pt>
                <c:pt idx="914">
                  <c:v>2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2</c:v>
                </c:pt>
                <c:pt idx="926">
                  <c:v>2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5</c:v>
                </c:pt>
                <c:pt idx="933">
                  <c:v>0</c:v>
                </c:pt>
                <c:pt idx="934">
                  <c:v>2</c:v>
                </c:pt>
                <c:pt idx="935">
                  <c:v>0</c:v>
                </c:pt>
                <c:pt idx="936">
                  <c:v>2</c:v>
                </c:pt>
                <c:pt idx="937">
                  <c:v>5</c:v>
                </c:pt>
                <c:pt idx="938">
                  <c:v>2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2</c:v>
                </c:pt>
                <c:pt idx="947">
                  <c:v>1</c:v>
                </c:pt>
                <c:pt idx="948">
                  <c:v>0</c:v>
                </c:pt>
                <c:pt idx="949">
                  <c:v>3</c:v>
                </c:pt>
                <c:pt idx="950">
                  <c:v>0</c:v>
                </c:pt>
                <c:pt idx="951">
                  <c:v>2</c:v>
                </c:pt>
                <c:pt idx="952">
                  <c:v>1</c:v>
                </c:pt>
                <c:pt idx="953">
                  <c:v>2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1</c:v>
                </c:pt>
                <c:pt idx="963">
                  <c:v>3</c:v>
                </c:pt>
                <c:pt idx="964">
                  <c:v>2</c:v>
                </c:pt>
                <c:pt idx="965">
                  <c:v>1</c:v>
                </c:pt>
                <c:pt idx="966">
                  <c:v>2</c:v>
                </c:pt>
                <c:pt idx="967">
                  <c:v>1</c:v>
                </c:pt>
                <c:pt idx="968">
                  <c:v>2</c:v>
                </c:pt>
                <c:pt idx="969">
                  <c:v>5</c:v>
                </c:pt>
                <c:pt idx="970">
                  <c:v>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3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3</c:v>
                </c:pt>
                <c:pt idx="983">
                  <c:v>1</c:v>
                </c:pt>
                <c:pt idx="984">
                  <c:v>5</c:v>
                </c:pt>
                <c:pt idx="985">
                  <c:v>1</c:v>
                </c:pt>
                <c:pt idx="986">
                  <c:v>3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2</c:v>
                </c:pt>
                <c:pt idx="992">
                  <c:v>2</c:v>
                </c:pt>
                <c:pt idx="993">
                  <c:v>1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0</c:v>
                </c:pt>
                <c:pt idx="998">
                  <c:v>3</c:v>
                </c:pt>
                <c:pt idx="999">
                  <c:v>0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</c:v>
                </c:pt>
                <c:pt idx="1005">
                  <c:v>2</c:v>
                </c:pt>
                <c:pt idx="1006">
                  <c:v>2</c:v>
                </c:pt>
                <c:pt idx="1007">
                  <c:v>3</c:v>
                </c:pt>
                <c:pt idx="1008">
                  <c:v>2</c:v>
                </c:pt>
                <c:pt idx="1009">
                  <c:v>1</c:v>
                </c:pt>
                <c:pt idx="1010">
                  <c:v>0</c:v>
                </c:pt>
                <c:pt idx="1011">
                  <c:v>2</c:v>
                </c:pt>
                <c:pt idx="1012">
                  <c:v>4</c:v>
                </c:pt>
                <c:pt idx="1013">
                  <c:v>1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2</c:v>
                </c:pt>
                <c:pt idx="1018">
                  <c:v>3</c:v>
                </c:pt>
                <c:pt idx="1019">
                  <c:v>2</c:v>
                </c:pt>
                <c:pt idx="1020">
                  <c:v>0</c:v>
                </c:pt>
                <c:pt idx="1021">
                  <c:v>3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0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2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3</c:v>
                </c:pt>
                <c:pt idx="1036">
                  <c:v>2</c:v>
                </c:pt>
                <c:pt idx="1037">
                  <c:v>1</c:v>
                </c:pt>
                <c:pt idx="1038">
                  <c:v>0</c:v>
                </c:pt>
                <c:pt idx="1039">
                  <c:v>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2</c:v>
                </c:pt>
                <c:pt idx="1046">
                  <c:v>0</c:v>
                </c:pt>
                <c:pt idx="1047">
                  <c:v>1</c:v>
                </c:pt>
                <c:pt idx="1048">
                  <c:v>1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1</c:v>
                </c:pt>
                <c:pt idx="1053">
                  <c:v>3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1</c:v>
                </c:pt>
                <c:pt idx="1063">
                  <c:v>3</c:v>
                </c:pt>
                <c:pt idx="1064">
                  <c:v>4</c:v>
                </c:pt>
                <c:pt idx="1065">
                  <c:v>1</c:v>
                </c:pt>
                <c:pt idx="1066">
                  <c:v>2</c:v>
                </c:pt>
                <c:pt idx="1067">
                  <c:v>0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1</c:v>
                </c:pt>
                <c:pt idx="1077">
                  <c:v>0</c:v>
                </c:pt>
                <c:pt idx="1078">
                  <c:v>0</c:v>
                </c:pt>
                <c:pt idx="1079">
                  <c:v>3</c:v>
                </c:pt>
                <c:pt idx="1080">
                  <c:v>2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2</c:v>
                </c:pt>
                <c:pt idx="1085">
                  <c:v>5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3</c:v>
                </c:pt>
                <c:pt idx="1093">
                  <c:v>0</c:v>
                </c:pt>
                <c:pt idx="1094">
                  <c:v>4</c:v>
                </c:pt>
                <c:pt idx="1095">
                  <c:v>4</c:v>
                </c:pt>
                <c:pt idx="1096">
                  <c:v>2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2</c:v>
                </c:pt>
                <c:pt idx="1101">
                  <c:v>3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2</c:v>
                </c:pt>
                <c:pt idx="1108">
                  <c:v>1</c:v>
                </c:pt>
                <c:pt idx="1109">
                  <c:v>3</c:v>
                </c:pt>
                <c:pt idx="1110">
                  <c:v>1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0</c:v>
                </c:pt>
                <c:pt idx="1115">
                  <c:v>1</c:v>
                </c:pt>
                <c:pt idx="1116">
                  <c:v>5</c:v>
                </c:pt>
                <c:pt idx="1117">
                  <c:v>2</c:v>
                </c:pt>
                <c:pt idx="1118">
                  <c:v>1</c:v>
                </c:pt>
                <c:pt idx="1119">
                  <c:v>3</c:v>
                </c:pt>
                <c:pt idx="1120">
                  <c:v>0</c:v>
                </c:pt>
                <c:pt idx="1121">
                  <c:v>2</c:v>
                </c:pt>
                <c:pt idx="1122">
                  <c:v>3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2</c:v>
                </c:pt>
                <c:pt idx="1128">
                  <c:v>1</c:v>
                </c:pt>
                <c:pt idx="1129">
                  <c:v>0</c:v>
                </c:pt>
                <c:pt idx="1130">
                  <c:v>5</c:v>
                </c:pt>
                <c:pt idx="1131">
                  <c:v>2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1</c:v>
                </c:pt>
                <c:pt idx="1141">
                  <c:v>3</c:v>
                </c:pt>
                <c:pt idx="1142">
                  <c:v>0</c:v>
                </c:pt>
                <c:pt idx="1143">
                  <c:v>2</c:v>
                </c:pt>
                <c:pt idx="1144">
                  <c:v>2</c:v>
                </c:pt>
                <c:pt idx="1145">
                  <c:v>3</c:v>
                </c:pt>
                <c:pt idx="1146">
                  <c:v>0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3</c:v>
                </c:pt>
                <c:pt idx="1153">
                  <c:v>1</c:v>
                </c:pt>
                <c:pt idx="1154">
                  <c:v>4</c:v>
                </c:pt>
                <c:pt idx="1155">
                  <c:v>3</c:v>
                </c:pt>
                <c:pt idx="1156">
                  <c:v>0</c:v>
                </c:pt>
                <c:pt idx="1157">
                  <c:v>2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2</c:v>
                </c:pt>
                <c:pt idx="1162">
                  <c:v>1</c:v>
                </c:pt>
                <c:pt idx="1163">
                  <c:v>0</c:v>
                </c:pt>
                <c:pt idx="1164">
                  <c:v>1</c:v>
                </c:pt>
                <c:pt idx="1165">
                  <c:v>0</c:v>
                </c:pt>
                <c:pt idx="1166">
                  <c:v>0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1</c:v>
                </c:pt>
                <c:pt idx="1171">
                  <c:v>2</c:v>
                </c:pt>
                <c:pt idx="1172">
                  <c:v>0</c:v>
                </c:pt>
                <c:pt idx="1173">
                  <c:v>2</c:v>
                </c:pt>
                <c:pt idx="1174">
                  <c:v>2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1</c:v>
                </c:pt>
                <c:pt idx="1185">
                  <c:v>2</c:v>
                </c:pt>
                <c:pt idx="1186">
                  <c:v>3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2</c:v>
                </c:pt>
                <c:pt idx="1191">
                  <c:v>1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3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0</c:v>
                </c:pt>
                <c:pt idx="1203">
                  <c:v>1</c:v>
                </c:pt>
                <c:pt idx="1204">
                  <c:v>3</c:v>
                </c:pt>
                <c:pt idx="1205">
                  <c:v>1</c:v>
                </c:pt>
                <c:pt idx="1206">
                  <c:v>2</c:v>
                </c:pt>
                <c:pt idx="1207">
                  <c:v>2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2</c:v>
                </c:pt>
                <c:pt idx="1212">
                  <c:v>0</c:v>
                </c:pt>
                <c:pt idx="1213">
                  <c:v>2</c:v>
                </c:pt>
                <c:pt idx="1214">
                  <c:v>1</c:v>
                </c:pt>
                <c:pt idx="1215">
                  <c:v>0</c:v>
                </c:pt>
                <c:pt idx="1216">
                  <c:v>0</c:v>
                </c:pt>
                <c:pt idx="1217">
                  <c:v>2</c:v>
                </c:pt>
                <c:pt idx="1218">
                  <c:v>1</c:v>
                </c:pt>
                <c:pt idx="1219">
                  <c:v>3</c:v>
                </c:pt>
                <c:pt idx="1220">
                  <c:v>1</c:v>
                </c:pt>
                <c:pt idx="1221">
                  <c:v>2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2</c:v>
                </c:pt>
                <c:pt idx="1227">
                  <c:v>2</c:v>
                </c:pt>
                <c:pt idx="1228">
                  <c:v>0</c:v>
                </c:pt>
                <c:pt idx="1229">
                  <c:v>0</c:v>
                </c:pt>
                <c:pt idx="1230">
                  <c:v>3</c:v>
                </c:pt>
                <c:pt idx="1231">
                  <c:v>0</c:v>
                </c:pt>
                <c:pt idx="1232">
                  <c:v>3</c:v>
                </c:pt>
                <c:pt idx="1233">
                  <c:v>0</c:v>
                </c:pt>
                <c:pt idx="1234">
                  <c:v>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3</c:v>
                </c:pt>
                <c:pt idx="1239">
                  <c:v>1</c:v>
                </c:pt>
                <c:pt idx="1240">
                  <c:v>2</c:v>
                </c:pt>
                <c:pt idx="1241">
                  <c:v>2</c:v>
                </c:pt>
                <c:pt idx="1242">
                  <c:v>3</c:v>
                </c:pt>
                <c:pt idx="1243">
                  <c:v>0</c:v>
                </c:pt>
                <c:pt idx="1244">
                  <c:v>0</c:v>
                </c:pt>
                <c:pt idx="1245">
                  <c:v>5</c:v>
                </c:pt>
                <c:pt idx="1246">
                  <c:v>3</c:v>
                </c:pt>
                <c:pt idx="1247">
                  <c:v>4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4</c:v>
                </c:pt>
                <c:pt idx="1254">
                  <c:v>0</c:v>
                </c:pt>
                <c:pt idx="1255">
                  <c:v>0</c:v>
                </c:pt>
                <c:pt idx="1256">
                  <c:v>3</c:v>
                </c:pt>
                <c:pt idx="1257">
                  <c:v>1</c:v>
                </c:pt>
                <c:pt idx="1258">
                  <c:v>3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2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</c:v>
                </c:pt>
                <c:pt idx="1270">
                  <c:v>1</c:v>
                </c:pt>
                <c:pt idx="1271">
                  <c:v>0</c:v>
                </c:pt>
                <c:pt idx="1272">
                  <c:v>5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2</c:v>
                </c:pt>
                <c:pt idx="1280">
                  <c:v>0</c:v>
                </c:pt>
                <c:pt idx="1281">
                  <c:v>2</c:v>
                </c:pt>
                <c:pt idx="1282">
                  <c:v>0</c:v>
                </c:pt>
                <c:pt idx="1283">
                  <c:v>1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2</c:v>
                </c:pt>
                <c:pt idx="1289">
                  <c:v>1</c:v>
                </c:pt>
                <c:pt idx="1290">
                  <c:v>2</c:v>
                </c:pt>
                <c:pt idx="1291">
                  <c:v>0</c:v>
                </c:pt>
                <c:pt idx="1292">
                  <c:v>0</c:v>
                </c:pt>
                <c:pt idx="1293">
                  <c:v>3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2</c:v>
                </c:pt>
                <c:pt idx="1298">
                  <c:v>2</c:v>
                </c:pt>
                <c:pt idx="1299">
                  <c:v>1</c:v>
                </c:pt>
                <c:pt idx="1300">
                  <c:v>0</c:v>
                </c:pt>
                <c:pt idx="1301">
                  <c:v>3</c:v>
                </c:pt>
                <c:pt idx="1302">
                  <c:v>1</c:v>
                </c:pt>
                <c:pt idx="1303">
                  <c:v>0</c:v>
                </c:pt>
                <c:pt idx="1304">
                  <c:v>2</c:v>
                </c:pt>
                <c:pt idx="1305">
                  <c:v>0</c:v>
                </c:pt>
                <c:pt idx="1306">
                  <c:v>0</c:v>
                </c:pt>
                <c:pt idx="1307">
                  <c:v>4</c:v>
                </c:pt>
                <c:pt idx="1308">
                  <c:v>0</c:v>
                </c:pt>
                <c:pt idx="1309">
                  <c:v>2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3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4</c:v>
                </c:pt>
                <c:pt idx="1319">
                  <c:v>2</c:v>
                </c:pt>
                <c:pt idx="1320">
                  <c:v>3</c:v>
                </c:pt>
                <c:pt idx="1321">
                  <c:v>0</c:v>
                </c:pt>
                <c:pt idx="1322">
                  <c:v>0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0</c:v>
                </c:pt>
                <c:pt idx="1332">
                  <c:v>3</c:v>
                </c:pt>
                <c:pt idx="1333">
                  <c:v>3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9C-A648-887A-8E4B1241B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93199"/>
        <c:axId val="2072755215"/>
      </c:scatterChart>
      <c:valAx>
        <c:axId val="2072793199"/>
        <c:scaling>
          <c:orientation val="minMax"/>
        </c:scaling>
        <c:delete val="0"/>
        <c:axPos val="b"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72755215"/>
        <c:crosses val="autoZero"/>
        <c:crossBetween val="midCat"/>
      </c:valAx>
      <c:valAx>
        <c:axId val="2072755215"/>
        <c:scaling>
          <c:orientation val="minMax"/>
        </c:scaling>
        <c:delete val="0"/>
        <c:axPos val="l"/>
        <c:majorGridlines>
          <c:spPr>
            <a:ln>
              <a:solidFill>
                <a:srgbClr val="EEEEFF"/>
              </a:solidFill>
            </a:ln>
          </c:spPr>
        </c:majorGridlines>
        <c:numFmt formatCode="0.000" sourceLinked="0"/>
        <c:majorTickMark val="out"/>
        <c:minorTickMark val="none"/>
        <c:tickLblPos val="nextTo"/>
        <c:crossAx val="207279319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/>
            </a:pPr>
            <a:r>
              <a:rPr lang="en-GB" sz="1000" b="0"/>
              <a:t>children vs children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3"/>
            <c:spPr>
              <a:ln/>
            </c:spPr>
          </c:marker>
          <c:xVal>
            <c:numRef>
              <c:f>insurance!$D$2:$D$1339</c:f>
              <c:numCache>
                <c:formatCode>General</c:formatCode>
                <c:ptCount val="133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3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0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5</c:v>
                </c:pt>
                <c:pt idx="72">
                  <c:v>3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4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2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3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2</c:v>
                </c:pt>
                <c:pt idx="164">
                  <c:v>0</c:v>
                </c:pt>
                <c:pt idx="165">
                  <c:v>4</c:v>
                </c:pt>
                <c:pt idx="166">
                  <c:v>5</c:v>
                </c:pt>
                <c:pt idx="167">
                  <c:v>3</c:v>
                </c:pt>
                <c:pt idx="168">
                  <c:v>1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3</c:v>
                </c:pt>
                <c:pt idx="183">
                  <c:v>0</c:v>
                </c:pt>
                <c:pt idx="184">
                  <c:v>2</c:v>
                </c:pt>
                <c:pt idx="185">
                  <c:v>3</c:v>
                </c:pt>
                <c:pt idx="186">
                  <c:v>2</c:v>
                </c:pt>
                <c:pt idx="187">
                  <c:v>3</c:v>
                </c:pt>
                <c:pt idx="188">
                  <c:v>1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2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4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3</c:v>
                </c:pt>
                <c:pt idx="223">
                  <c:v>0</c:v>
                </c:pt>
                <c:pt idx="224">
                  <c:v>0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0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0</c:v>
                </c:pt>
                <c:pt idx="237">
                  <c:v>2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3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3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3</c:v>
                </c:pt>
                <c:pt idx="263">
                  <c:v>0</c:v>
                </c:pt>
                <c:pt idx="264">
                  <c:v>3</c:v>
                </c:pt>
                <c:pt idx="265">
                  <c:v>3</c:v>
                </c:pt>
                <c:pt idx="266">
                  <c:v>1</c:v>
                </c:pt>
                <c:pt idx="267">
                  <c:v>3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2</c:v>
                </c:pt>
                <c:pt idx="277">
                  <c:v>0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3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3</c:v>
                </c:pt>
                <c:pt idx="290">
                  <c:v>0</c:v>
                </c:pt>
                <c:pt idx="291">
                  <c:v>1</c:v>
                </c:pt>
                <c:pt idx="292">
                  <c:v>2</c:v>
                </c:pt>
                <c:pt idx="293">
                  <c:v>0</c:v>
                </c:pt>
                <c:pt idx="294">
                  <c:v>3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</c:v>
                </c:pt>
                <c:pt idx="345">
                  <c:v>3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</c:v>
                </c:pt>
                <c:pt idx="357">
                  <c:v>3</c:v>
                </c:pt>
                <c:pt idx="358">
                  <c:v>0</c:v>
                </c:pt>
                <c:pt idx="359">
                  <c:v>0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2</c:v>
                </c:pt>
                <c:pt idx="369">
                  <c:v>3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2</c:v>
                </c:pt>
                <c:pt idx="374">
                  <c:v>0</c:v>
                </c:pt>
                <c:pt idx="375">
                  <c:v>0</c:v>
                </c:pt>
                <c:pt idx="376">
                  <c:v>3</c:v>
                </c:pt>
                <c:pt idx="377">
                  <c:v>0</c:v>
                </c:pt>
                <c:pt idx="378">
                  <c:v>3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2</c:v>
                </c:pt>
                <c:pt idx="384">
                  <c:v>2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3</c:v>
                </c:pt>
                <c:pt idx="390">
                  <c:v>4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2</c:v>
                </c:pt>
                <c:pt idx="395">
                  <c:v>0</c:v>
                </c:pt>
                <c:pt idx="396">
                  <c:v>3</c:v>
                </c:pt>
                <c:pt idx="397">
                  <c:v>0</c:v>
                </c:pt>
                <c:pt idx="398">
                  <c:v>2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3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1</c:v>
                </c:pt>
                <c:pt idx="408">
                  <c:v>3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2</c:v>
                </c:pt>
                <c:pt idx="413">
                  <c:v>5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2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2</c:v>
                </c:pt>
                <c:pt idx="425">
                  <c:v>5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3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3</c:v>
                </c:pt>
                <c:pt idx="438">
                  <c:v>5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4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2</c:v>
                </c:pt>
                <c:pt idx="457">
                  <c:v>0</c:v>
                </c:pt>
                <c:pt idx="458">
                  <c:v>0</c:v>
                </c:pt>
                <c:pt idx="459">
                  <c:v>3</c:v>
                </c:pt>
                <c:pt idx="460">
                  <c:v>3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3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</c:v>
                </c:pt>
                <c:pt idx="481">
                  <c:v>2</c:v>
                </c:pt>
                <c:pt idx="482">
                  <c:v>0</c:v>
                </c:pt>
                <c:pt idx="483">
                  <c:v>1</c:v>
                </c:pt>
                <c:pt idx="484">
                  <c:v>3</c:v>
                </c:pt>
                <c:pt idx="485">
                  <c:v>0</c:v>
                </c:pt>
                <c:pt idx="486">
                  <c:v>3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1</c:v>
                </c:pt>
                <c:pt idx="505">
                  <c:v>3</c:v>
                </c:pt>
                <c:pt idx="506">
                  <c:v>1</c:v>
                </c:pt>
                <c:pt idx="507">
                  <c:v>2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2</c:v>
                </c:pt>
                <c:pt idx="527">
                  <c:v>1</c:v>
                </c:pt>
                <c:pt idx="528">
                  <c:v>1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2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0</c:v>
                </c:pt>
                <c:pt idx="540">
                  <c:v>3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2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1</c:v>
                </c:pt>
                <c:pt idx="557">
                  <c:v>0</c:v>
                </c:pt>
                <c:pt idx="558">
                  <c:v>3</c:v>
                </c:pt>
                <c:pt idx="559">
                  <c:v>0</c:v>
                </c:pt>
                <c:pt idx="560">
                  <c:v>2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2</c:v>
                </c:pt>
                <c:pt idx="565">
                  <c:v>0</c:v>
                </c:pt>
                <c:pt idx="566">
                  <c:v>1</c:v>
                </c:pt>
                <c:pt idx="567">
                  <c:v>2</c:v>
                </c:pt>
                <c:pt idx="568">
                  <c:v>5</c:v>
                </c:pt>
                <c:pt idx="569">
                  <c:v>2</c:v>
                </c:pt>
                <c:pt idx="570">
                  <c:v>0</c:v>
                </c:pt>
                <c:pt idx="571">
                  <c:v>1</c:v>
                </c:pt>
                <c:pt idx="572">
                  <c:v>2</c:v>
                </c:pt>
                <c:pt idx="573">
                  <c:v>1</c:v>
                </c:pt>
                <c:pt idx="574">
                  <c:v>2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3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2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3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3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2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2</c:v>
                </c:pt>
                <c:pt idx="638">
                  <c:v>0</c:v>
                </c:pt>
                <c:pt idx="639">
                  <c:v>4</c:v>
                </c:pt>
                <c:pt idx="640">
                  <c:v>5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2</c:v>
                </c:pt>
                <c:pt idx="645">
                  <c:v>3</c:v>
                </c:pt>
                <c:pt idx="646">
                  <c:v>1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2</c:v>
                </c:pt>
                <c:pt idx="651">
                  <c:v>1</c:v>
                </c:pt>
                <c:pt idx="652">
                  <c:v>0</c:v>
                </c:pt>
                <c:pt idx="653">
                  <c:v>2</c:v>
                </c:pt>
                <c:pt idx="654">
                  <c:v>0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4</c:v>
                </c:pt>
                <c:pt idx="660">
                  <c:v>3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0</c:v>
                </c:pt>
                <c:pt idx="669">
                  <c:v>1</c:v>
                </c:pt>
                <c:pt idx="670">
                  <c:v>3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2</c:v>
                </c:pt>
                <c:pt idx="680">
                  <c:v>1</c:v>
                </c:pt>
                <c:pt idx="681">
                  <c:v>0</c:v>
                </c:pt>
                <c:pt idx="682">
                  <c:v>2</c:v>
                </c:pt>
                <c:pt idx="683">
                  <c:v>0</c:v>
                </c:pt>
                <c:pt idx="684">
                  <c:v>1</c:v>
                </c:pt>
                <c:pt idx="685">
                  <c:v>2</c:v>
                </c:pt>
                <c:pt idx="686">
                  <c:v>2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2</c:v>
                </c:pt>
                <c:pt idx="697">
                  <c:v>1</c:v>
                </c:pt>
                <c:pt idx="698">
                  <c:v>0</c:v>
                </c:pt>
                <c:pt idx="699">
                  <c:v>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0</c:v>
                </c:pt>
                <c:pt idx="707">
                  <c:v>3</c:v>
                </c:pt>
                <c:pt idx="708">
                  <c:v>3</c:v>
                </c:pt>
                <c:pt idx="709">
                  <c:v>0</c:v>
                </c:pt>
                <c:pt idx="710">
                  <c:v>1</c:v>
                </c:pt>
                <c:pt idx="711">
                  <c:v>2</c:v>
                </c:pt>
                <c:pt idx="712">
                  <c:v>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2</c:v>
                </c:pt>
                <c:pt idx="719">
                  <c:v>0</c:v>
                </c:pt>
                <c:pt idx="720">
                  <c:v>0</c:v>
                </c:pt>
                <c:pt idx="721">
                  <c:v>3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3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3</c:v>
                </c:pt>
                <c:pt idx="731">
                  <c:v>1</c:v>
                </c:pt>
                <c:pt idx="732">
                  <c:v>3</c:v>
                </c:pt>
                <c:pt idx="733">
                  <c:v>1</c:v>
                </c:pt>
                <c:pt idx="734">
                  <c:v>3</c:v>
                </c:pt>
                <c:pt idx="735">
                  <c:v>1</c:v>
                </c:pt>
                <c:pt idx="736">
                  <c:v>0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2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4</c:v>
                </c:pt>
                <c:pt idx="755">
                  <c:v>2</c:v>
                </c:pt>
                <c:pt idx="756">
                  <c:v>3</c:v>
                </c:pt>
                <c:pt idx="757">
                  <c:v>0</c:v>
                </c:pt>
                <c:pt idx="758">
                  <c:v>3</c:v>
                </c:pt>
                <c:pt idx="759">
                  <c:v>0</c:v>
                </c:pt>
                <c:pt idx="760">
                  <c:v>2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2</c:v>
                </c:pt>
                <c:pt idx="770">
                  <c:v>3</c:v>
                </c:pt>
                <c:pt idx="771">
                  <c:v>2</c:v>
                </c:pt>
                <c:pt idx="772">
                  <c:v>0</c:v>
                </c:pt>
                <c:pt idx="773">
                  <c:v>0</c:v>
                </c:pt>
                <c:pt idx="774">
                  <c:v>2</c:v>
                </c:pt>
                <c:pt idx="775">
                  <c:v>3</c:v>
                </c:pt>
                <c:pt idx="776">
                  <c:v>2</c:v>
                </c:pt>
                <c:pt idx="777">
                  <c:v>0</c:v>
                </c:pt>
                <c:pt idx="778">
                  <c:v>3</c:v>
                </c:pt>
                <c:pt idx="779">
                  <c:v>0</c:v>
                </c:pt>
                <c:pt idx="780">
                  <c:v>3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0</c:v>
                </c:pt>
                <c:pt idx="788">
                  <c:v>3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2</c:v>
                </c:pt>
                <c:pt idx="797">
                  <c:v>1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0</c:v>
                </c:pt>
                <c:pt idx="817">
                  <c:v>3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3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0</c:v>
                </c:pt>
                <c:pt idx="834">
                  <c:v>1</c:v>
                </c:pt>
                <c:pt idx="835">
                  <c:v>2</c:v>
                </c:pt>
                <c:pt idx="836">
                  <c:v>0</c:v>
                </c:pt>
                <c:pt idx="837">
                  <c:v>0</c:v>
                </c:pt>
                <c:pt idx="838">
                  <c:v>2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2</c:v>
                </c:pt>
                <c:pt idx="854">
                  <c:v>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2</c:v>
                </c:pt>
                <c:pt idx="861">
                  <c:v>3</c:v>
                </c:pt>
                <c:pt idx="862">
                  <c:v>2</c:v>
                </c:pt>
                <c:pt idx="863">
                  <c:v>0</c:v>
                </c:pt>
                <c:pt idx="864">
                  <c:v>0</c:v>
                </c:pt>
                <c:pt idx="865">
                  <c:v>2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3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3</c:v>
                </c:pt>
                <c:pt idx="875">
                  <c:v>0</c:v>
                </c:pt>
                <c:pt idx="876">
                  <c:v>1</c:v>
                </c:pt>
                <c:pt idx="877">
                  <c:v>5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1</c:v>
                </c:pt>
                <c:pt idx="882">
                  <c:v>0</c:v>
                </c:pt>
                <c:pt idx="883">
                  <c:v>3</c:v>
                </c:pt>
                <c:pt idx="884">
                  <c:v>4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4</c:v>
                </c:pt>
                <c:pt idx="892">
                  <c:v>0</c:v>
                </c:pt>
                <c:pt idx="893">
                  <c:v>2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2</c:v>
                </c:pt>
                <c:pt idx="906">
                  <c:v>3</c:v>
                </c:pt>
                <c:pt idx="907">
                  <c:v>1</c:v>
                </c:pt>
                <c:pt idx="908">
                  <c:v>3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3</c:v>
                </c:pt>
                <c:pt idx="913">
                  <c:v>1</c:v>
                </c:pt>
                <c:pt idx="914">
                  <c:v>2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2</c:v>
                </c:pt>
                <c:pt idx="926">
                  <c:v>2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5</c:v>
                </c:pt>
                <c:pt idx="933">
                  <c:v>0</c:v>
                </c:pt>
                <c:pt idx="934">
                  <c:v>2</c:v>
                </c:pt>
                <c:pt idx="935">
                  <c:v>0</c:v>
                </c:pt>
                <c:pt idx="936">
                  <c:v>2</c:v>
                </c:pt>
                <c:pt idx="937">
                  <c:v>5</c:v>
                </c:pt>
                <c:pt idx="938">
                  <c:v>2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2</c:v>
                </c:pt>
                <c:pt idx="947">
                  <c:v>1</c:v>
                </c:pt>
                <c:pt idx="948">
                  <c:v>0</c:v>
                </c:pt>
                <c:pt idx="949">
                  <c:v>3</c:v>
                </c:pt>
                <c:pt idx="950">
                  <c:v>0</c:v>
                </c:pt>
                <c:pt idx="951">
                  <c:v>2</c:v>
                </c:pt>
                <c:pt idx="952">
                  <c:v>1</c:v>
                </c:pt>
                <c:pt idx="953">
                  <c:v>2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1</c:v>
                </c:pt>
                <c:pt idx="963">
                  <c:v>3</c:v>
                </c:pt>
                <c:pt idx="964">
                  <c:v>2</c:v>
                </c:pt>
                <c:pt idx="965">
                  <c:v>1</c:v>
                </c:pt>
                <c:pt idx="966">
                  <c:v>2</c:v>
                </c:pt>
                <c:pt idx="967">
                  <c:v>1</c:v>
                </c:pt>
                <c:pt idx="968">
                  <c:v>2</c:v>
                </c:pt>
                <c:pt idx="969">
                  <c:v>5</c:v>
                </c:pt>
                <c:pt idx="970">
                  <c:v>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3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3</c:v>
                </c:pt>
                <c:pt idx="983">
                  <c:v>1</c:v>
                </c:pt>
                <c:pt idx="984">
                  <c:v>5</c:v>
                </c:pt>
                <c:pt idx="985">
                  <c:v>1</c:v>
                </c:pt>
                <c:pt idx="986">
                  <c:v>3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2</c:v>
                </c:pt>
                <c:pt idx="992">
                  <c:v>2</c:v>
                </c:pt>
                <c:pt idx="993">
                  <c:v>1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0</c:v>
                </c:pt>
                <c:pt idx="998">
                  <c:v>3</c:v>
                </c:pt>
                <c:pt idx="999">
                  <c:v>0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</c:v>
                </c:pt>
                <c:pt idx="1005">
                  <c:v>2</c:v>
                </c:pt>
                <c:pt idx="1006">
                  <c:v>2</c:v>
                </c:pt>
                <c:pt idx="1007">
                  <c:v>3</c:v>
                </c:pt>
                <c:pt idx="1008">
                  <c:v>2</c:v>
                </c:pt>
                <c:pt idx="1009">
                  <c:v>1</c:v>
                </c:pt>
                <c:pt idx="1010">
                  <c:v>0</c:v>
                </c:pt>
                <c:pt idx="1011">
                  <c:v>2</c:v>
                </c:pt>
                <c:pt idx="1012">
                  <c:v>4</c:v>
                </c:pt>
                <c:pt idx="1013">
                  <c:v>1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2</c:v>
                </c:pt>
                <c:pt idx="1018">
                  <c:v>3</c:v>
                </c:pt>
                <c:pt idx="1019">
                  <c:v>2</c:v>
                </c:pt>
                <c:pt idx="1020">
                  <c:v>0</c:v>
                </c:pt>
                <c:pt idx="1021">
                  <c:v>3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0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2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3</c:v>
                </c:pt>
                <c:pt idx="1036">
                  <c:v>2</c:v>
                </c:pt>
                <c:pt idx="1037">
                  <c:v>1</c:v>
                </c:pt>
                <c:pt idx="1038">
                  <c:v>0</c:v>
                </c:pt>
                <c:pt idx="1039">
                  <c:v>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2</c:v>
                </c:pt>
                <c:pt idx="1046">
                  <c:v>0</c:v>
                </c:pt>
                <c:pt idx="1047">
                  <c:v>1</c:v>
                </c:pt>
                <c:pt idx="1048">
                  <c:v>1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1</c:v>
                </c:pt>
                <c:pt idx="1053">
                  <c:v>3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1</c:v>
                </c:pt>
                <c:pt idx="1063">
                  <c:v>3</c:v>
                </c:pt>
                <c:pt idx="1064">
                  <c:v>4</c:v>
                </c:pt>
                <c:pt idx="1065">
                  <c:v>1</c:v>
                </c:pt>
                <c:pt idx="1066">
                  <c:v>2</c:v>
                </c:pt>
                <c:pt idx="1067">
                  <c:v>0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1</c:v>
                </c:pt>
                <c:pt idx="1077">
                  <c:v>0</c:v>
                </c:pt>
                <c:pt idx="1078">
                  <c:v>0</c:v>
                </c:pt>
                <c:pt idx="1079">
                  <c:v>3</c:v>
                </c:pt>
                <c:pt idx="1080">
                  <c:v>2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2</c:v>
                </c:pt>
                <c:pt idx="1085">
                  <c:v>5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3</c:v>
                </c:pt>
                <c:pt idx="1093">
                  <c:v>0</c:v>
                </c:pt>
                <c:pt idx="1094">
                  <c:v>4</c:v>
                </c:pt>
                <c:pt idx="1095">
                  <c:v>4</c:v>
                </c:pt>
                <c:pt idx="1096">
                  <c:v>2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2</c:v>
                </c:pt>
                <c:pt idx="1101">
                  <c:v>3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2</c:v>
                </c:pt>
                <c:pt idx="1108">
                  <c:v>1</c:v>
                </c:pt>
                <c:pt idx="1109">
                  <c:v>3</c:v>
                </c:pt>
                <c:pt idx="1110">
                  <c:v>1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0</c:v>
                </c:pt>
                <c:pt idx="1115">
                  <c:v>1</c:v>
                </c:pt>
                <c:pt idx="1116">
                  <c:v>5</c:v>
                </c:pt>
                <c:pt idx="1117">
                  <c:v>2</c:v>
                </c:pt>
                <c:pt idx="1118">
                  <c:v>1</c:v>
                </c:pt>
                <c:pt idx="1119">
                  <c:v>3</c:v>
                </c:pt>
                <c:pt idx="1120">
                  <c:v>0</c:v>
                </c:pt>
                <c:pt idx="1121">
                  <c:v>2</c:v>
                </c:pt>
                <c:pt idx="1122">
                  <c:v>3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2</c:v>
                </c:pt>
                <c:pt idx="1128">
                  <c:v>1</c:v>
                </c:pt>
                <c:pt idx="1129">
                  <c:v>0</c:v>
                </c:pt>
                <c:pt idx="1130">
                  <c:v>5</c:v>
                </c:pt>
                <c:pt idx="1131">
                  <c:v>2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1</c:v>
                </c:pt>
                <c:pt idx="1141">
                  <c:v>3</c:v>
                </c:pt>
                <c:pt idx="1142">
                  <c:v>0</c:v>
                </c:pt>
                <c:pt idx="1143">
                  <c:v>2</c:v>
                </c:pt>
                <c:pt idx="1144">
                  <c:v>2</c:v>
                </c:pt>
                <c:pt idx="1145">
                  <c:v>3</c:v>
                </c:pt>
                <c:pt idx="1146">
                  <c:v>0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3</c:v>
                </c:pt>
                <c:pt idx="1153">
                  <c:v>1</c:v>
                </c:pt>
                <c:pt idx="1154">
                  <c:v>4</c:v>
                </c:pt>
                <c:pt idx="1155">
                  <c:v>3</c:v>
                </c:pt>
                <c:pt idx="1156">
                  <c:v>0</c:v>
                </c:pt>
                <c:pt idx="1157">
                  <c:v>2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2</c:v>
                </c:pt>
                <c:pt idx="1162">
                  <c:v>1</c:v>
                </c:pt>
                <c:pt idx="1163">
                  <c:v>0</c:v>
                </c:pt>
                <c:pt idx="1164">
                  <c:v>1</c:v>
                </c:pt>
                <c:pt idx="1165">
                  <c:v>0</c:v>
                </c:pt>
                <c:pt idx="1166">
                  <c:v>0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1</c:v>
                </c:pt>
                <c:pt idx="1171">
                  <c:v>2</c:v>
                </c:pt>
                <c:pt idx="1172">
                  <c:v>0</c:v>
                </c:pt>
                <c:pt idx="1173">
                  <c:v>2</c:v>
                </c:pt>
                <c:pt idx="1174">
                  <c:v>2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1</c:v>
                </c:pt>
                <c:pt idx="1185">
                  <c:v>2</c:v>
                </c:pt>
                <c:pt idx="1186">
                  <c:v>3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2</c:v>
                </c:pt>
                <c:pt idx="1191">
                  <c:v>1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3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0</c:v>
                </c:pt>
                <c:pt idx="1203">
                  <c:v>1</c:v>
                </c:pt>
                <c:pt idx="1204">
                  <c:v>3</c:v>
                </c:pt>
                <c:pt idx="1205">
                  <c:v>1</c:v>
                </c:pt>
                <c:pt idx="1206">
                  <c:v>2</c:v>
                </c:pt>
                <c:pt idx="1207">
                  <c:v>2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2</c:v>
                </c:pt>
                <c:pt idx="1212">
                  <c:v>0</c:v>
                </c:pt>
                <c:pt idx="1213">
                  <c:v>2</c:v>
                </c:pt>
                <c:pt idx="1214">
                  <c:v>1</c:v>
                </c:pt>
                <c:pt idx="1215">
                  <c:v>0</c:v>
                </c:pt>
                <c:pt idx="1216">
                  <c:v>0</c:v>
                </c:pt>
                <c:pt idx="1217">
                  <c:v>2</c:v>
                </c:pt>
                <c:pt idx="1218">
                  <c:v>1</c:v>
                </c:pt>
                <c:pt idx="1219">
                  <c:v>3</c:v>
                </c:pt>
                <c:pt idx="1220">
                  <c:v>1</c:v>
                </c:pt>
                <c:pt idx="1221">
                  <c:v>2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2</c:v>
                </c:pt>
                <c:pt idx="1227">
                  <c:v>2</c:v>
                </c:pt>
                <c:pt idx="1228">
                  <c:v>0</c:v>
                </c:pt>
                <c:pt idx="1229">
                  <c:v>0</c:v>
                </c:pt>
                <c:pt idx="1230">
                  <c:v>3</c:v>
                </c:pt>
                <c:pt idx="1231">
                  <c:v>0</c:v>
                </c:pt>
                <c:pt idx="1232">
                  <c:v>3</c:v>
                </c:pt>
                <c:pt idx="1233">
                  <c:v>0</c:v>
                </c:pt>
                <c:pt idx="1234">
                  <c:v>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3</c:v>
                </c:pt>
                <c:pt idx="1239">
                  <c:v>1</c:v>
                </c:pt>
                <c:pt idx="1240">
                  <c:v>2</c:v>
                </c:pt>
                <c:pt idx="1241">
                  <c:v>2</c:v>
                </c:pt>
                <c:pt idx="1242">
                  <c:v>3</c:v>
                </c:pt>
                <c:pt idx="1243">
                  <c:v>0</c:v>
                </c:pt>
                <c:pt idx="1244">
                  <c:v>0</c:v>
                </c:pt>
                <c:pt idx="1245">
                  <c:v>5</c:v>
                </c:pt>
                <c:pt idx="1246">
                  <c:v>3</c:v>
                </c:pt>
                <c:pt idx="1247">
                  <c:v>4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4</c:v>
                </c:pt>
                <c:pt idx="1254">
                  <c:v>0</c:v>
                </c:pt>
                <c:pt idx="1255">
                  <c:v>0</c:v>
                </c:pt>
                <c:pt idx="1256">
                  <c:v>3</c:v>
                </c:pt>
                <c:pt idx="1257">
                  <c:v>1</c:v>
                </c:pt>
                <c:pt idx="1258">
                  <c:v>3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2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</c:v>
                </c:pt>
                <c:pt idx="1270">
                  <c:v>1</c:v>
                </c:pt>
                <c:pt idx="1271">
                  <c:v>0</c:v>
                </c:pt>
                <c:pt idx="1272">
                  <c:v>5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2</c:v>
                </c:pt>
                <c:pt idx="1280">
                  <c:v>0</c:v>
                </c:pt>
                <c:pt idx="1281">
                  <c:v>2</c:v>
                </c:pt>
                <c:pt idx="1282">
                  <c:v>0</c:v>
                </c:pt>
                <c:pt idx="1283">
                  <c:v>1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2</c:v>
                </c:pt>
                <c:pt idx="1289">
                  <c:v>1</c:v>
                </c:pt>
                <c:pt idx="1290">
                  <c:v>2</c:v>
                </c:pt>
                <c:pt idx="1291">
                  <c:v>0</c:v>
                </c:pt>
                <c:pt idx="1292">
                  <c:v>0</c:v>
                </c:pt>
                <c:pt idx="1293">
                  <c:v>3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2</c:v>
                </c:pt>
                <c:pt idx="1298">
                  <c:v>2</c:v>
                </c:pt>
                <c:pt idx="1299">
                  <c:v>1</c:v>
                </c:pt>
                <c:pt idx="1300">
                  <c:v>0</c:v>
                </c:pt>
                <c:pt idx="1301">
                  <c:v>3</c:v>
                </c:pt>
                <c:pt idx="1302">
                  <c:v>1</c:v>
                </c:pt>
                <c:pt idx="1303">
                  <c:v>0</c:v>
                </c:pt>
                <c:pt idx="1304">
                  <c:v>2</c:v>
                </c:pt>
                <c:pt idx="1305">
                  <c:v>0</c:v>
                </c:pt>
                <c:pt idx="1306">
                  <c:v>0</c:v>
                </c:pt>
                <c:pt idx="1307">
                  <c:v>4</c:v>
                </c:pt>
                <c:pt idx="1308">
                  <c:v>0</c:v>
                </c:pt>
                <c:pt idx="1309">
                  <c:v>2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3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4</c:v>
                </c:pt>
                <c:pt idx="1319">
                  <c:v>2</c:v>
                </c:pt>
                <c:pt idx="1320">
                  <c:v>3</c:v>
                </c:pt>
                <c:pt idx="1321">
                  <c:v>0</c:v>
                </c:pt>
                <c:pt idx="1322">
                  <c:v>0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0</c:v>
                </c:pt>
                <c:pt idx="1332">
                  <c:v>3</c:v>
                </c:pt>
                <c:pt idx="1333">
                  <c:v>3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</c:numCache>
            </c:numRef>
          </c:xVal>
          <c:yVal>
            <c:numRef>
              <c:f>insurance!$D$2:$D$1339</c:f>
              <c:numCache>
                <c:formatCode>General</c:formatCode>
                <c:ptCount val="133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3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0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5</c:v>
                </c:pt>
                <c:pt idx="72">
                  <c:v>3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4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2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3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2</c:v>
                </c:pt>
                <c:pt idx="164">
                  <c:v>0</c:v>
                </c:pt>
                <c:pt idx="165">
                  <c:v>4</c:v>
                </c:pt>
                <c:pt idx="166">
                  <c:v>5</c:v>
                </c:pt>
                <c:pt idx="167">
                  <c:v>3</c:v>
                </c:pt>
                <c:pt idx="168">
                  <c:v>1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3</c:v>
                </c:pt>
                <c:pt idx="183">
                  <c:v>0</c:v>
                </c:pt>
                <c:pt idx="184">
                  <c:v>2</c:v>
                </c:pt>
                <c:pt idx="185">
                  <c:v>3</c:v>
                </c:pt>
                <c:pt idx="186">
                  <c:v>2</c:v>
                </c:pt>
                <c:pt idx="187">
                  <c:v>3</c:v>
                </c:pt>
                <c:pt idx="188">
                  <c:v>1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2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4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3</c:v>
                </c:pt>
                <c:pt idx="223">
                  <c:v>0</c:v>
                </c:pt>
                <c:pt idx="224">
                  <c:v>0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0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0</c:v>
                </c:pt>
                <c:pt idx="237">
                  <c:v>2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3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3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3</c:v>
                </c:pt>
                <c:pt idx="263">
                  <c:v>0</c:v>
                </c:pt>
                <c:pt idx="264">
                  <c:v>3</c:v>
                </c:pt>
                <c:pt idx="265">
                  <c:v>3</c:v>
                </c:pt>
                <c:pt idx="266">
                  <c:v>1</c:v>
                </c:pt>
                <c:pt idx="267">
                  <c:v>3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2</c:v>
                </c:pt>
                <c:pt idx="277">
                  <c:v>0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3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3</c:v>
                </c:pt>
                <c:pt idx="290">
                  <c:v>0</c:v>
                </c:pt>
                <c:pt idx="291">
                  <c:v>1</c:v>
                </c:pt>
                <c:pt idx="292">
                  <c:v>2</c:v>
                </c:pt>
                <c:pt idx="293">
                  <c:v>0</c:v>
                </c:pt>
                <c:pt idx="294">
                  <c:v>3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</c:v>
                </c:pt>
                <c:pt idx="345">
                  <c:v>3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</c:v>
                </c:pt>
                <c:pt idx="357">
                  <c:v>3</c:v>
                </c:pt>
                <c:pt idx="358">
                  <c:v>0</c:v>
                </c:pt>
                <c:pt idx="359">
                  <c:v>0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2</c:v>
                </c:pt>
                <c:pt idx="369">
                  <c:v>3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2</c:v>
                </c:pt>
                <c:pt idx="374">
                  <c:v>0</c:v>
                </c:pt>
                <c:pt idx="375">
                  <c:v>0</c:v>
                </c:pt>
                <c:pt idx="376">
                  <c:v>3</c:v>
                </c:pt>
                <c:pt idx="377">
                  <c:v>0</c:v>
                </c:pt>
                <c:pt idx="378">
                  <c:v>3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2</c:v>
                </c:pt>
                <c:pt idx="384">
                  <c:v>2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3</c:v>
                </c:pt>
                <c:pt idx="390">
                  <c:v>4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2</c:v>
                </c:pt>
                <c:pt idx="395">
                  <c:v>0</c:v>
                </c:pt>
                <c:pt idx="396">
                  <c:v>3</c:v>
                </c:pt>
                <c:pt idx="397">
                  <c:v>0</c:v>
                </c:pt>
                <c:pt idx="398">
                  <c:v>2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3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1</c:v>
                </c:pt>
                <c:pt idx="408">
                  <c:v>3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2</c:v>
                </c:pt>
                <c:pt idx="413">
                  <c:v>5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2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2</c:v>
                </c:pt>
                <c:pt idx="425">
                  <c:v>5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3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3</c:v>
                </c:pt>
                <c:pt idx="438">
                  <c:v>5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4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2</c:v>
                </c:pt>
                <c:pt idx="457">
                  <c:v>0</c:v>
                </c:pt>
                <c:pt idx="458">
                  <c:v>0</c:v>
                </c:pt>
                <c:pt idx="459">
                  <c:v>3</c:v>
                </c:pt>
                <c:pt idx="460">
                  <c:v>3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3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</c:v>
                </c:pt>
                <c:pt idx="481">
                  <c:v>2</c:v>
                </c:pt>
                <c:pt idx="482">
                  <c:v>0</c:v>
                </c:pt>
                <c:pt idx="483">
                  <c:v>1</c:v>
                </c:pt>
                <c:pt idx="484">
                  <c:v>3</c:v>
                </c:pt>
                <c:pt idx="485">
                  <c:v>0</c:v>
                </c:pt>
                <c:pt idx="486">
                  <c:v>3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1</c:v>
                </c:pt>
                <c:pt idx="505">
                  <c:v>3</c:v>
                </c:pt>
                <c:pt idx="506">
                  <c:v>1</c:v>
                </c:pt>
                <c:pt idx="507">
                  <c:v>2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2</c:v>
                </c:pt>
                <c:pt idx="527">
                  <c:v>1</c:v>
                </c:pt>
                <c:pt idx="528">
                  <c:v>1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2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0</c:v>
                </c:pt>
                <c:pt idx="540">
                  <c:v>3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2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1</c:v>
                </c:pt>
                <c:pt idx="557">
                  <c:v>0</c:v>
                </c:pt>
                <c:pt idx="558">
                  <c:v>3</c:v>
                </c:pt>
                <c:pt idx="559">
                  <c:v>0</c:v>
                </c:pt>
                <c:pt idx="560">
                  <c:v>2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2</c:v>
                </c:pt>
                <c:pt idx="565">
                  <c:v>0</c:v>
                </c:pt>
                <c:pt idx="566">
                  <c:v>1</c:v>
                </c:pt>
                <c:pt idx="567">
                  <c:v>2</c:v>
                </c:pt>
                <c:pt idx="568">
                  <c:v>5</c:v>
                </c:pt>
                <c:pt idx="569">
                  <c:v>2</c:v>
                </c:pt>
                <c:pt idx="570">
                  <c:v>0</c:v>
                </c:pt>
                <c:pt idx="571">
                  <c:v>1</c:v>
                </c:pt>
                <c:pt idx="572">
                  <c:v>2</c:v>
                </c:pt>
                <c:pt idx="573">
                  <c:v>1</c:v>
                </c:pt>
                <c:pt idx="574">
                  <c:v>2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3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2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3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3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2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2</c:v>
                </c:pt>
                <c:pt idx="638">
                  <c:v>0</c:v>
                </c:pt>
                <c:pt idx="639">
                  <c:v>4</c:v>
                </c:pt>
                <c:pt idx="640">
                  <c:v>5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2</c:v>
                </c:pt>
                <c:pt idx="645">
                  <c:v>3</c:v>
                </c:pt>
                <c:pt idx="646">
                  <c:v>1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2</c:v>
                </c:pt>
                <c:pt idx="651">
                  <c:v>1</c:v>
                </c:pt>
                <c:pt idx="652">
                  <c:v>0</c:v>
                </c:pt>
                <c:pt idx="653">
                  <c:v>2</c:v>
                </c:pt>
                <c:pt idx="654">
                  <c:v>0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4</c:v>
                </c:pt>
                <c:pt idx="660">
                  <c:v>3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0</c:v>
                </c:pt>
                <c:pt idx="669">
                  <c:v>1</c:v>
                </c:pt>
                <c:pt idx="670">
                  <c:v>3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2</c:v>
                </c:pt>
                <c:pt idx="680">
                  <c:v>1</c:v>
                </c:pt>
                <c:pt idx="681">
                  <c:v>0</c:v>
                </c:pt>
                <c:pt idx="682">
                  <c:v>2</c:v>
                </c:pt>
                <c:pt idx="683">
                  <c:v>0</c:v>
                </c:pt>
                <c:pt idx="684">
                  <c:v>1</c:v>
                </c:pt>
                <c:pt idx="685">
                  <c:v>2</c:v>
                </c:pt>
                <c:pt idx="686">
                  <c:v>2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2</c:v>
                </c:pt>
                <c:pt idx="697">
                  <c:v>1</c:v>
                </c:pt>
                <c:pt idx="698">
                  <c:v>0</c:v>
                </c:pt>
                <c:pt idx="699">
                  <c:v>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0</c:v>
                </c:pt>
                <c:pt idx="707">
                  <c:v>3</c:v>
                </c:pt>
                <c:pt idx="708">
                  <c:v>3</c:v>
                </c:pt>
                <c:pt idx="709">
                  <c:v>0</c:v>
                </c:pt>
                <c:pt idx="710">
                  <c:v>1</c:v>
                </c:pt>
                <c:pt idx="711">
                  <c:v>2</c:v>
                </c:pt>
                <c:pt idx="712">
                  <c:v>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2</c:v>
                </c:pt>
                <c:pt idx="719">
                  <c:v>0</c:v>
                </c:pt>
                <c:pt idx="720">
                  <c:v>0</c:v>
                </c:pt>
                <c:pt idx="721">
                  <c:v>3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3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3</c:v>
                </c:pt>
                <c:pt idx="731">
                  <c:v>1</c:v>
                </c:pt>
                <c:pt idx="732">
                  <c:v>3</c:v>
                </c:pt>
                <c:pt idx="733">
                  <c:v>1</c:v>
                </c:pt>
                <c:pt idx="734">
                  <c:v>3</c:v>
                </c:pt>
                <c:pt idx="735">
                  <c:v>1</c:v>
                </c:pt>
                <c:pt idx="736">
                  <c:v>0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2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4</c:v>
                </c:pt>
                <c:pt idx="755">
                  <c:v>2</c:v>
                </c:pt>
                <c:pt idx="756">
                  <c:v>3</c:v>
                </c:pt>
                <c:pt idx="757">
                  <c:v>0</c:v>
                </c:pt>
                <c:pt idx="758">
                  <c:v>3</c:v>
                </c:pt>
                <c:pt idx="759">
                  <c:v>0</c:v>
                </c:pt>
                <c:pt idx="760">
                  <c:v>2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2</c:v>
                </c:pt>
                <c:pt idx="770">
                  <c:v>3</c:v>
                </c:pt>
                <c:pt idx="771">
                  <c:v>2</c:v>
                </c:pt>
                <c:pt idx="772">
                  <c:v>0</c:v>
                </c:pt>
                <c:pt idx="773">
                  <c:v>0</c:v>
                </c:pt>
                <c:pt idx="774">
                  <c:v>2</c:v>
                </c:pt>
                <c:pt idx="775">
                  <c:v>3</c:v>
                </c:pt>
                <c:pt idx="776">
                  <c:v>2</c:v>
                </c:pt>
                <c:pt idx="777">
                  <c:v>0</c:v>
                </c:pt>
                <c:pt idx="778">
                  <c:v>3</c:v>
                </c:pt>
                <c:pt idx="779">
                  <c:v>0</c:v>
                </c:pt>
                <c:pt idx="780">
                  <c:v>3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0</c:v>
                </c:pt>
                <c:pt idx="788">
                  <c:v>3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2</c:v>
                </c:pt>
                <c:pt idx="797">
                  <c:v>1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0</c:v>
                </c:pt>
                <c:pt idx="817">
                  <c:v>3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3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0</c:v>
                </c:pt>
                <c:pt idx="834">
                  <c:v>1</c:v>
                </c:pt>
                <c:pt idx="835">
                  <c:v>2</c:v>
                </c:pt>
                <c:pt idx="836">
                  <c:v>0</c:v>
                </c:pt>
                <c:pt idx="837">
                  <c:v>0</c:v>
                </c:pt>
                <c:pt idx="838">
                  <c:v>2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2</c:v>
                </c:pt>
                <c:pt idx="854">
                  <c:v>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2</c:v>
                </c:pt>
                <c:pt idx="861">
                  <c:v>3</c:v>
                </c:pt>
                <c:pt idx="862">
                  <c:v>2</c:v>
                </c:pt>
                <c:pt idx="863">
                  <c:v>0</c:v>
                </c:pt>
                <c:pt idx="864">
                  <c:v>0</c:v>
                </c:pt>
                <c:pt idx="865">
                  <c:v>2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3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3</c:v>
                </c:pt>
                <c:pt idx="875">
                  <c:v>0</c:v>
                </c:pt>
                <c:pt idx="876">
                  <c:v>1</c:v>
                </c:pt>
                <c:pt idx="877">
                  <c:v>5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1</c:v>
                </c:pt>
                <c:pt idx="882">
                  <c:v>0</c:v>
                </c:pt>
                <c:pt idx="883">
                  <c:v>3</c:v>
                </c:pt>
                <c:pt idx="884">
                  <c:v>4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4</c:v>
                </c:pt>
                <c:pt idx="892">
                  <c:v>0</c:v>
                </c:pt>
                <c:pt idx="893">
                  <c:v>2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2</c:v>
                </c:pt>
                <c:pt idx="906">
                  <c:v>3</c:v>
                </c:pt>
                <c:pt idx="907">
                  <c:v>1</c:v>
                </c:pt>
                <c:pt idx="908">
                  <c:v>3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3</c:v>
                </c:pt>
                <c:pt idx="913">
                  <c:v>1</c:v>
                </c:pt>
                <c:pt idx="914">
                  <c:v>2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2</c:v>
                </c:pt>
                <c:pt idx="926">
                  <c:v>2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5</c:v>
                </c:pt>
                <c:pt idx="933">
                  <c:v>0</c:v>
                </c:pt>
                <c:pt idx="934">
                  <c:v>2</c:v>
                </c:pt>
                <c:pt idx="935">
                  <c:v>0</c:v>
                </c:pt>
                <c:pt idx="936">
                  <c:v>2</c:v>
                </c:pt>
                <c:pt idx="937">
                  <c:v>5</c:v>
                </c:pt>
                <c:pt idx="938">
                  <c:v>2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2</c:v>
                </c:pt>
                <c:pt idx="947">
                  <c:v>1</c:v>
                </c:pt>
                <c:pt idx="948">
                  <c:v>0</c:v>
                </c:pt>
                <c:pt idx="949">
                  <c:v>3</c:v>
                </c:pt>
                <c:pt idx="950">
                  <c:v>0</c:v>
                </c:pt>
                <c:pt idx="951">
                  <c:v>2</c:v>
                </c:pt>
                <c:pt idx="952">
                  <c:v>1</c:v>
                </c:pt>
                <c:pt idx="953">
                  <c:v>2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1</c:v>
                </c:pt>
                <c:pt idx="963">
                  <c:v>3</c:v>
                </c:pt>
                <c:pt idx="964">
                  <c:v>2</c:v>
                </c:pt>
                <c:pt idx="965">
                  <c:v>1</c:v>
                </c:pt>
                <c:pt idx="966">
                  <c:v>2</c:v>
                </c:pt>
                <c:pt idx="967">
                  <c:v>1</c:v>
                </c:pt>
                <c:pt idx="968">
                  <c:v>2</c:v>
                </c:pt>
                <c:pt idx="969">
                  <c:v>5</c:v>
                </c:pt>
                <c:pt idx="970">
                  <c:v>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3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3</c:v>
                </c:pt>
                <c:pt idx="983">
                  <c:v>1</c:v>
                </c:pt>
                <c:pt idx="984">
                  <c:v>5</c:v>
                </c:pt>
                <c:pt idx="985">
                  <c:v>1</c:v>
                </c:pt>
                <c:pt idx="986">
                  <c:v>3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2</c:v>
                </c:pt>
                <c:pt idx="992">
                  <c:v>2</c:v>
                </c:pt>
                <c:pt idx="993">
                  <c:v>1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0</c:v>
                </c:pt>
                <c:pt idx="998">
                  <c:v>3</c:v>
                </c:pt>
                <c:pt idx="999">
                  <c:v>0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</c:v>
                </c:pt>
                <c:pt idx="1005">
                  <c:v>2</c:v>
                </c:pt>
                <c:pt idx="1006">
                  <c:v>2</c:v>
                </c:pt>
                <c:pt idx="1007">
                  <c:v>3</c:v>
                </c:pt>
                <c:pt idx="1008">
                  <c:v>2</c:v>
                </c:pt>
                <c:pt idx="1009">
                  <c:v>1</c:v>
                </c:pt>
                <c:pt idx="1010">
                  <c:v>0</c:v>
                </c:pt>
                <c:pt idx="1011">
                  <c:v>2</c:v>
                </c:pt>
                <c:pt idx="1012">
                  <c:v>4</c:v>
                </c:pt>
                <c:pt idx="1013">
                  <c:v>1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2</c:v>
                </c:pt>
                <c:pt idx="1018">
                  <c:v>3</c:v>
                </c:pt>
                <c:pt idx="1019">
                  <c:v>2</c:v>
                </c:pt>
                <c:pt idx="1020">
                  <c:v>0</c:v>
                </c:pt>
                <c:pt idx="1021">
                  <c:v>3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0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2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3</c:v>
                </c:pt>
                <c:pt idx="1036">
                  <c:v>2</c:v>
                </c:pt>
                <c:pt idx="1037">
                  <c:v>1</c:v>
                </c:pt>
                <c:pt idx="1038">
                  <c:v>0</c:v>
                </c:pt>
                <c:pt idx="1039">
                  <c:v>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2</c:v>
                </c:pt>
                <c:pt idx="1046">
                  <c:v>0</c:v>
                </c:pt>
                <c:pt idx="1047">
                  <c:v>1</c:v>
                </c:pt>
                <c:pt idx="1048">
                  <c:v>1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1</c:v>
                </c:pt>
                <c:pt idx="1053">
                  <c:v>3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1</c:v>
                </c:pt>
                <c:pt idx="1063">
                  <c:v>3</c:v>
                </c:pt>
                <c:pt idx="1064">
                  <c:v>4</c:v>
                </c:pt>
                <c:pt idx="1065">
                  <c:v>1</c:v>
                </c:pt>
                <c:pt idx="1066">
                  <c:v>2</c:v>
                </c:pt>
                <c:pt idx="1067">
                  <c:v>0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1</c:v>
                </c:pt>
                <c:pt idx="1077">
                  <c:v>0</c:v>
                </c:pt>
                <c:pt idx="1078">
                  <c:v>0</c:v>
                </c:pt>
                <c:pt idx="1079">
                  <c:v>3</c:v>
                </c:pt>
                <c:pt idx="1080">
                  <c:v>2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2</c:v>
                </c:pt>
                <c:pt idx="1085">
                  <c:v>5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3</c:v>
                </c:pt>
                <c:pt idx="1093">
                  <c:v>0</c:v>
                </c:pt>
                <c:pt idx="1094">
                  <c:v>4</c:v>
                </c:pt>
                <c:pt idx="1095">
                  <c:v>4</c:v>
                </c:pt>
                <c:pt idx="1096">
                  <c:v>2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2</c:v>
                </c:pt>
                <c:pt idx="1101">
                  <c:v>3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2</c:v>
                </c:pt>
                <c:pt idx="1108">
                  <c:v>1</c:v>
                </c:pt>
                <c:pt idx="1109">
                  <c:v>3</c:v>
                </c:pt>
                <c:pt idx="1110">
                  <c:v>1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0</c:v>
                </c:pt>
                <c:pt idx="1115">
                  <c:v>1</c:v>
                </c:pt>
                <c:pt idx="1116">
                  <c:v>5</c:v>
                </c:pt>
                <c:pt idx="1117">
                  <c:v>2</c:v>
                </c:pt>
                <c:pt idx="1118">
                  <c:v>1</c:v>
                </c:pt>
                <c:pt idx="1119">
                  <c:v>3</c:v>
                </c:pt>
                <c:pt idx="1120">
                  <c:v>0</c:v>
                </c:pt>
                <c:pt idx="1121">
                  <c:v>2</c:v>
                </c:pt>
                <c:pt idx="1122">
                  <c:v>3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2</c:v>
                </c:pt>
                <c:pt idx="1128">
                  <c:v>1</c:v>
                </c:pt>
                <c:pt idx="1129">
                  <c:v>0</c:v>
                </c:pt>
                <c:pt idx="1130">
                  <c:v>5</c:v>
                </c:pt>
                <c:pt idx="1131">
                  <c:v>2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1</c:v>
                </c:pt>
                <c:pt idx="1141">
                  <c:v>3</c:v>
                </c:pt>
                <c:pt idx="1142">
                  <c:v>0</c:v>
                </c:pt>
                <c:pt idx="1143">
                  <c:v>2</c:v>
                </c:pt>
                <c:pt idx="1144">
                  <c:v>2</c:v>
                </c:pt>
                <c:pt idx="1145">
                  <c:v>3</c:v>
                </c:pt>
                <c:pt idx="1146">
                  <c:v>0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3</c:v>
                </c:pt>
                <c:pt idx="1153">
                  <c:v>1</c:v>
                </c:pt>
                <c:pt idx="1154">
                  <c:v>4</c:v>
                </c:pt>
                <c:pt idx="1155">
                  <c:v>3</c:v>
                </c:pt>
                <c:pt idx="1156">
                  <c:v>0</c:v>
                </c:pt>
                <c:pt idx="1157">
                  <c:v>2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2</c:v>
                </c:pt>
                <c:pt idx="1162">
                  <c:v>1</c:v>
                </c:pt>
                <c:pt idx="1163">
                  <c:v>0</c:v>
                </c:pt>
                <c:pt idx="1164">
                  <c:v>1</c:v>
                </c:pt>
                <c:pt idx="1165">
                  <c:v>0</c:v>
                </c:pt>
                <c:pt idx="1166">
                  <c:v>0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1</c:v>
                </c:pt>
                <c:pt idx="1171">
                  <c:v>2</c:v>
                </c:pt>
                <c:pt idx="1172">
                  <c:v>0</c:v>
                </c:pt>
                <c:pt idx="1173">
                  <c:v>2</c:v>
                </c:pt>
                <c:pt idx="1174">
                  <c:v>2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1</c:v>
                </c:pt>
                <c:pt idx="1185">
                  <c:v>2</c:v>
                </c:pt>
                <c:pt idx="1186">
                  <c:v>3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2</c:v>
                </c:pt>
                <c:pt idx="1191">
                  <c:v>1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3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0</c:v>
                </c:pt>
                <c:pt idx="1203">
                  <c:v>1</c:v>
                </c:pt>
                <c:pt idx="1204">
                  <c:v>3</c:v>
                </c:pt>
                <c:pt idx="1205">
                  <c:v>1</c:v>
                </c:pt>
                <c:pt idx="1206">
                  <c:v>2</c:v>
                </c:pt>
                <c:pt idx="1207">
                  <c:v>2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2</c:v>
                </c:pt>
                <c:pt idx="1212">
                  <c:v>0</c:v>
                </c:pt>
                <c:pt idx="1213">
                  <c:v>2</c:v>
                </c:pt>
                <c:pt idx="1214">
                  <c:v>1</c:v>
                </c:pt>
                <c:pt idx="1215">
                  <c:v>0</c:v>
                </c:pt>
                <c:pt idx="1216">
                  <c:v>0</c:v>
                </c:pt>
                <c:pt idx="1217">
                  <c:v>2</c:v>
                </c:pt>
                <c:pt idx="1218">
                  <c:v>1</c:v>
                </c:pt>
                <c:pt idx="1219">
                  <c:v>3</c:v>
                </c:pt>
                <c:pt idx="1220">
                  <c:v>1</c:v>
                </c:pt>
                <c:pt idx="1221">
                  <c:v>2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2</c:v>
                </c:pt>
                <c:pt idx="1227">
                  <c:v>2</c:v>
                </c:pt>
                <c:pt idx="1228">
                  <c:v>0</c:v>
                </c:pt>
                <c:pt idx="1229">
                  <c:v>0</c:v>
                </c:pt>
                <c:pt idx="1230">
                  <c:v>3</c:v>
                </c:pt>
                <c:pt idx="1231">
                  <c:v>0</c:v>
                </c:pt>
                <c:pt idx="1232">
                  <c:v>3</c:v>
                </c:pt>
                <c:pt idx="1233">
                  <c:v>0</c:v>
                </c:pt>
                <c:pt idx="1234">
                  <c:v>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3</c:v>
                </c:pt>
                <c:pt idx="1239">
                  <c:v>1</c:v>
                </c:pt>
                <c:pt idx="1240">
                  <c:v>2</c:v>
                </c:pt>
                <c:pt idx="1241">
                  <c:v>2</c:v>
                </c:pt>
                <c:pt idx="1242">
                  <c:v>3</c:v>
                </c:pt>
                <c:pt idx="1243">
                  <c:v>0</c:v>
                </c:pt>
                <c:pt idx="1244">
                  <c:v>0</c:v>
                </c:pt>
                <c:pt idx="1245">
                  <c:v>5</c:v>
                </c:pt>
                <c:pt idx="1246">
                  <c:v>3</c:v>
                </c:pt>
                <c:pt idx="1247">
                  <c:v>4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4</c:v>
                </c:pt>
                <c:pt idx="1254">
                  <c:v>0</c:v>
                </c:pt>
                <c:pt idx="1255">
                  <c:v>0</c:v>
                </c:pt>
                <c:pt idx="1256">
                  <c:v>3</c:v>
                </c:pt>
                <c:pt idx="1257">
                  <c:v>1</c:v>
                </c:pt>
                <c:pt idx="1258">
                  <c:v>3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2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</c:v>
                </c:pt>
                <c:pt idx="1270">
                  <c:v>1</c:v>
                </c:pt>
                <c:pt idx="1271">
                  <c:v>0</c:v>
                </c:pt>
                <c:pt idx="1272">
                  <c:v>5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2</c:v>
                </c:pt>
                <c:pt idx="1280">
                  <c:v>0</c:v>
                </c:pt>
                <c:pt idx="1281">
                  <c:v>2</c:v>
                </c:pt>
                <c:pt idx="1282">
                  <c:v>0</c:v>
                </c:pt>
                <c:pt idx="1283">
                  <c:v>1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2</c:v>
                </c:pt>
                <c:pt idx="1289">
                  <c:v>1</c:v>
                </c:pt>
                <c:pt idx="1290">
                  <c:v>2</c:v>
                </c:pt>
                <c:pt idx="1291">
                  <c:v>0</c:v>
                </c:pt>
                <c:pt idx="1292">
                  <c:v>0</c:v>
                </c:pt>
                <c:pt idx="1293">
                  <c:v>3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2</c:v>
                </c:pt>
                <c:pt idx="1298">
                  <c:v>2</c:v>
                </c:pt>
                <c:pt idx="1299">
                  <c:v>1</c:v>
                </c:pt>
                <c:pt idx="1300">
                  <c:v>0</c:v>
                </c:pt>
                <c:pt idx="1301">
                  <c:v>3</c:v>
                </c:pt>
                <c:pt idx="1302">
                  <c:v>1</c:v>
                </c:pt>
                <c:pt idx="1303">
                  <c:v>0</c:v>
                </c:pt>
                <c:pt idx="1304">
                  <c:v>2</c:v>
                </c:pt>
                <c:pt idx="1305">
                  <c:v>0</c:v>
                </c:pt>
                <c:pt idx="1306">
                  <c:v>0</c:v>
                </c:pt>
                <c:pt idx="1307">
                  <c:v>4</c:v>
                </c:pt>
                <c:pt idx="1308">
                  <c:v>0</c:v>
                </c:pt>
                <c:pt idx="1309">
                  <c:v>2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3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4</c:v>
                </c:pt>
                <c:pt idx="1319">
                  <c:v>2</c:v>
                </c:pt>
                <c:pt idx="1320">
                  <c:v>3</c:v>
                </c:pt>
                <c:pt idx="1321">
                  <c:v>0</c:v>
                </c:pt>
                <c:pt idx="1322">
                  <c:v>0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0</c:v>
                </c:pt>
                <c:pt idx="1332">
                  <c:v>3</c:v>
                </c:pt>
                <c:pt idx="1333">
                  <c:v>3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F3-C340-8155-863B0DF22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855375"/>
        <c:axId val="2072243103"/>
      </c:scatterChart>
      <c:valAx>
        <c:axId val="2072855375"/>
        <c:scaling>
          <c:orientation val="minMax"/>
        </c:scaling>
        <c:delete val="0"/>
        <c:axPos val="b"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72243103"/>
        <c:crosses val="autoZero"/>
        <c:crossBetween val="midCat"/>
      </c:valAx>
      <c:valAx>
        <c:axId val="2072243103"/>
        <c:scaling>
          <c:orientation val="minMax"/>
        </c:scaling>
        <c:delete val="0"/>
        <c:axPos val="l"/>
        <c:majorGridlines>
          <c:spPr>
            <a:ln>
              <a:solidFill>
                <a:srgbClr val="EEEEFF"/>
              </a:solidFill>
            </a:ln>
          </c:spPr>
        </c:majorGridlines>
        <c:numFmt formatCode="0.000" sourceLinked="0"/>
        <c:majorTickMark val="out"/>
        <c:minorTickMark val="none"/>
        <c:tickLblPos val="nextTo"/>
        <c:crossAx val="207285537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/>
            </a:pPr>
            <a:r>
              <a:rPr lang="en-GB" sz="1000" b="0"/>
              <a:t>children vs charges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3"/>
            <c:spPr>
              <a:ln/>
            </c:spPr>
          </c:marker>
          <c:xVal>
            <c:numRef>
              <c:f>insurance!$G$2:$G$1339</c:f>
              <c:numCache>
                <c:formatCode>General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xVal>
          <c:yVal>
            <c:numRef>
              <c:f>insurance!$D$2:$D$1339</c:f>
              <c:numCache>
                <c:formatCode>General</c:formatCode>
                <c:ptCount val="133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3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0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5</c:v>
                </c:pt>
                <c:pt idx="72">
                  <c:v>3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4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2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3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2</c:v>
                </c:pt>
                <c:pt idx="164">
                  <c:v>0</c:v>
                </c:pt>
                <c:pt idx="165">
                  <c:v>4</c:v>
                </c:pt>
                <c:pt idx="166">
                  <c:v>5</c:v>
                </c:pt>
                <c:pt idx="167">
                  <c:v>3</c:v>
                </c:pt>
                <c:pt idx="168">
                  <c:v>1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3</c:v>
                </c:pt>
                <c:pt idx="183">
                  <c:v>0</c:v>
                </c:pt>
                <c:pt idx="184">
                  <c:v>2</c:v>
                </c:pt>
                <c:pt idx="185">
                  <c:v>3</c:v>
                </c:pt>
                <c:pt idx="186">
                  <c:v>2</c:v>
                </c:pt>
                <c:pt idx="187">
                  <c:v>3</c:v>
                </c:pt>
                <c:pt idx="188">
                  <c:v>1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2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4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3</c:v>
                </c:pt>
                <c:pt idx="223">
                  <c:v>0</c:v>
                </c:pt>
                <c:pt idx="224">
                  <c:v>0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0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0</c:v>
                </c:pt>
                <c:pt idx="237">
                  <c:v>2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3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3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3</c:v>
                </c:pt>
                <c:pt idx="263">
                  <c:v>0</c:v>
                </c:pt>
                <c:pt idx="264">
                  <c:v>3</c:v>
                </c:pt>
                <c:pt idx="265">
                  <c:v>3</c:v>
                </c:pt>
                <c:pt idx="266">
                  <c:v>1</c:v>
                </c:pt>
                <c:pt idx="267">
                  <c:v>3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2</c:v>
                </c:pt>
                <c:pt idx="277">
                  <c:v>0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3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3</c:v>
                </c:pt>
                <c:pt idx="290">
                  <c:v>0</c:v>
                </c:pt>
                <c:pt idx="291">
                  <c:v>1</c:v>
                </c:pt>
                <c:pt idx="292">
                  <c:v>2</c:v>
                </c:pt>
                <c:pt idx="293">
                  <c:v>0</c:v>
                </c:pt>
                <c:pt idx="294">
                  <c:v>3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</c:v>
                </c:pt>
                <c:pt idx="345">
                  <c:v>3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</c:v>
                </c:pt>
                <c:pt idx="357">
                  <c:v>3</c:v>
                </c:pt>
                <c:pt idx="358">
                  <c:v>0</c:v>
                </c:pt>
                <c:pt idx="359">
                  <c:v>0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2</c:v>
                </c:pt>
                <c:pt idx="369">
                  <c:v>3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2</c:v>
                </c:pt>
                <c:pt idx="374">
                  <c:v>0</c:v>
                </c:pt>
                <c:pt idx="375">
                  <c:v>0</c:v>
                </c:pt>
                <c:pt idx="376">
                  <c:v>3</c:v>
                </c:pt>
                <c:pt idx="377">
                  <c:v>0</c:v>
                </c:pt>
                <c:pt idx="378">
                  <c:v>3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2</c:v>
                </c:pt>
                <c:pt idx="384">
                  <c:v>2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3</c:v>
                </c:pt>
                <c:pt idx="390">
                  <c:v>4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2</c:v>
                </c:pt>
                <c:pt idx="395">
                  <c:v>0</c:v>
                </c:pt>
                <c:pt idx="396">
                  <c:v>3</c:v>
                </c:pt>
                <c:pt idx="397">
                  <c:v>0</c:v>
                </c:pt>
                <c:pt idx="398">
                  <c:v>2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3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1</c:v>
                </c:pt>
                <c:pt idx="408">
                  <c:v>3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2</c:v>
                </c:pt>
                <c:pt idx="413">
                  <c:v>5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2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2</c:v>
                </c:pt>
                <c:pt idx="425">
                  <c:v>5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3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3</c:v>
                </c:pt>
                <c:pt idx="438">
                  <c:v>5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4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2</c:v>
                </c:pt>
                <c:pt idx="457">
                  <c:v>0</c:v>
                </c:pt>
                <c:pt idx="458">
                  <c:v>0</c:v>
                </c:pt>
                <c:pt idx="459">
                  <c:v>3</c:v>
                </c:pt>
                <c:pt idx="460">
                  <c:v>3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3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</c:v>
                </c:pt>
                <c:pt idx="481">
                  <c:v>2</c:v>
                </c:pt>
                <c:pt idx="482">
                  <c:v>0</c:v>
                </c:pt>
                <c:pt idx="483">
                  <c:v>1</c:v>
                </c:pt>
                <c:pt idx="484">
                  <c:v>3</c:v>
                </c:pt>
                <c:pt idx="485">
                  <c:v>0</c:v>
                </c:pt>
                <c:pt idx="486">
                  <c:v>3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1</c:v>
                </c:pt>
                <c:pt idx="505">
                  <c:v>3</c:v>
                </c:pt>
                <c:pt idx="506">
                  <c:v>1</c:v>
                </c:pt>
                <c:pt idx="507">
                  <c:v>2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2</c:v>
                </c:pt>
                <c:pt idx="527">
                  <c:v>1</c:v>
                </c:pt>
                <c:pt idx="528">
                  <c:v>1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2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0</c:v>
                </c:pt>
                <c:pt idx="540">
                  <c:v>3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2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1</c:v>
                </c:pt>
                <c:pt idx="557">
                  <c:v>0</c:v>
                </c:pt>
                <c:pt idx="558">
                  <c:v>3</c:v>
                </c:pt>
                <c:pt idx="559">
                  <c:v>0</c:v>
                </c:pt>
                <c:pt idx="560">
                  <c:v>2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2</c:v>
                </c:pt>
                <c:pt idx="565">
                  <c:v>0</c:v>
                </c:pt>
                <c:pt idx="566">
                  <c:v>1</c:v>
                </c:pt>
                <c:pt idx="567">
                  <c:v>2</c:v>
                </c:pt>
                <c:pt idx="568">
                  <c:v>5</c:v>
                </c:pt>
                <c:pt idx="569">
                  <c:v>2</c:v>
                </c:pt>
                <c:pt idx="570">
                  <c:v>0</c:v>
                </c:pt>
                <c:pt idx="571">
                  <c:v>1</c:v>
                </c:pt>
                <c:pt idx="572">
                  <c:v>2</c:v>
                </c:pt>
                <c:pt idx="573">
                  <c:v>1</c:v>
                </c:pt>
                <c:pt idx="574">
                  <c:v>2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3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2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3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3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2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2</c:v>
                </c:pt>
                <c:pt idx="638">
                  <c:v>0</c:v>
                </c:pt>
                <c:pt idx="639">
                  <c:v>4</c:v>
                </c:pt>
                <c:pt idx="640">
                  <c:v>5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2</c:v>
                </c:pt>
                <c:pt idx="645">
                  <c:v>3</c:v>
                </c:pt>
                <c:pt idx="646">
                  <c:v>1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2</c:v>
                </c:pt>
                <c:pt idx="651">
                  <c:v>1</c:v>
                </c:pt>
                <c:pt idx="652">
                  <c:v>0</c:v>
                </c:pt>
                <c:pt idx="653">
                  <c:v>2</c:v>
                </c:pt>
                <c:pt idx="654">
                  <c:v>0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4</c:v>
                </c:pt>
                <c:pt idx="660">
                  <c:v>3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0</c:v>
                </c:pt>
                <c:pt idx="669">
                  <c:v>1</c:v>
                </c:pt>
                <c:pt idx="670">
                  <c:v>3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2</c:v>
                </c:pt>
                <c:pt idx="680">
                  <c:v>1</c:v>
                </c:pt>
                <c:pt idx="681">
                  <c:v>0</c:v>
                </c:pt>
                <c:pt idx="682">
                  <c:v>2</c:v>
                </c:pt>
                <c:pt idx="683">
                  <c:v>0</c:v>
                </c:pt>
                <c:pt idx="684">
                  <c:v>1</c:v>
                </c:pt>
                <c:pt idx="685">
                  <c:v>2</c:v>
                </c:pt>
                <c:pt idx="686">
                  <c:v>2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2</c:v>
                </c:pt>
                <c:pt idx="697">
                  <c:v>1</c:v>
                </c:pt>
                <c:pt idx="698">
                  <c:v>0</c:v>
                </c:pt>
                <c:pt idx="699">
                  <c:v>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0</c:v>
                </c:pt>
                <c:pt idx="707">
                  <c:v>3</c:v>
                </c:pt>
                <c:pt idx="708">
                  <c:v>3</c:v>
                </c:pt>
                <c:pt idx="709">
                  <c:v>0</c:v>
                </c:pt>
                <c:pt idx="710">
                  <c:v>1</c:v>
                </c:pt>
                <c:pt idx="711">
                  <c:v>2</c:v>
                </c:pt>
                <c:pt idx="712">
                  <c:v>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2</c:v>
                </c:pt>
                <c:pt idx="719">
                  <c:v>0</c:v>
                </c:pt>
                <c:pt idx="720">
                  <c:v>0</c:v>
                </c:pt>
                <c:pt idx="721">
                  <c:v>3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3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3</c:v>
                </c:pt>
                <c:pt idx="731">
                  <c:v>1</c:v>
                </c:pt>
                <c:pt idx="732">
                  <c:v>3</c:v>
                </c:pt>
                <c:pt idx="733">
                  <c:v>1</c:v>
                </c:pt>
                <c:pt idx="734">
                  <c:v>3</c:v>
                </c:pt>
                <c:pt idx="735">
                  <c:v>1</c:v>
                </c:pt>
                <c:pt idx="736">
                  <c:v>0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2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4</c:v>
                </c:pt>
                <c:pt idx="755">
                  <c:v>2</c:v>
                </c:pt>
                <c:pt idx="756">
                  <c:v>3</c:v>
                </c:pt>
                <c:pt idx="757">
                  <c:v>0</c:v>
                </c:pt>
                <c:pt idx="758">
                  <c:v>3</c:v>
                </c:pt>
                <c:pt idx="759">
                  <c:v>0</c:v>
                </c:pt>
                <c:pt idx="760">
                  <c:v>2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2</c:v>
                </c:pt>
                <c:pt idx="770">
                  <c:v>3</c:v>
                </c:pt>
                <c:pt idx="771">
                  <c:v>2</c:v>
                </c:pt>
                <c:pt idx="772">
                  <c:v>0</c:v>
                </c:pt>
                <c:pt idx="773">
                  <c:v>0</c:v>
                </c:pt>
                <c:pt idx="774">
                  <c:v>2</c:v>
                </c:pt>
                <c:pt idx="775">
                  <c:v>3</c:v>
                </c:pt>
                <c:pt idx="776">
                  <c:v>2</c:v>
                </c:pt>
                <c:pt idx="777">
                  <c:v>0</c:v>
                </c:pt>
                <c:pt idx="778">
                  <c:v>3</c:v>
                </c:pt>
                <c:pt idx="779">
                  <c:v>0</c:v>
                </c:pt>
                <c:pt idx="780">
                  <c:v>3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0</c:v>
                </c:pt>
                <c:pt idx="788">
                  <c:v>3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2</c:v>
                </c:pt>
                <c:pt idx="797">
                  <c:v>1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0</c:v>
                </c:pt>
                <c:pt idx="817">
                  <c:v>3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3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0</c:v>
                </c:pt>
                <c:pt idx="834">
                  <c:v>1</c:v>
                </c:pt>
                <c:pt idx="835">
                  <c:v>2</c:v>
                </c:pt>
                <c:pt idx="836">
                  <c:v>0</c:v>
                </c:pt>
                <c:pt idx="837">
                  <c:v>0</c:v>
                </c:pt>
                <c:pt idx="838">
                  <c:v>2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2</c:v>
                </c:pt>
                <c:pt idx="854">
                  <c:v>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2</c:v>
                </c:pt>
                <c:pt idx="861">
                  <c:v>3</c:v>
                </c:pt>
                <c:pt idx="862">
                  <c:v>2</c:v>
                </c:pt>
                <c:pt idx="863">
                  <c:v>0</c:v>
                </c:pt>
                <c:pt idx="864">
                  <c:v>0</c:v>
                </c:pt>
                <c:pt idx="865">
                  <c:v>2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3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3</c:v>
                </c:pt>
                <c:pt idx="875">
                  <c:v>0</c:v>
                </c:pt>
                <c:pt idx="876">
                  <c:v>1</c:v>
                </c:pt>
                <c:pt idx="877">
                  <c:v>5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1</c:v>
                </c:pt>
                <c:pt idx="882">
                  <c:v>0</c:v>
                </c:pt>
                <c:pt idx="883">
                  <c:v>3</c:v>
                </c:pt>
                <c:pt idx="884">
                  <c:v>4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4</c:v>
                </c:pt>
                <c:pt idx="892">
                  <c:v>0</c:v>
                </c:pt>
                <c:pt idx="893">
                  <c:v>2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2</c:v>
                </c:pt>
                <c:pt idx="906">
                  <c:v>3</c:v>
                </c:pt>
                <c:pt idx="907">
                  <c:v>1</c:v>
                </c:pt>
                <c:pt idx="908">
                  <c:v>3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3</c:v>
                </c:pt>
                <c:pt idx="913">
                  <c:v>1</c:v>
                </c:pt>
                <c:pt idx="914">
                  <c:v>2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2</c:v>
                </c:pt>
                <c:pt idx="926">
                  <c:v>2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5</c:v>
                </c:pt>
                <c:pt idx="933">
                  <c:v>0</c:v>
                </c:pt>
                <c:pt idx="934">
                  <c:v>2</c:v>
                </c:pt>
                <c:pt idx="935">
                  <c:v>0</c:v>
                </c:pt>
                <c:pt idx="936">
                  <c:v>2</c:v>
                </c:pt>
                <c:pt idx="937">
                  <c:v>5</c:v>
                </c:pt>
                <c:pt idx="938">
                  <c:v>2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2</c:v>
                </c:pt>
                <c:pt idx="947">
                  <c:v>1</c:v>
                </c:pt>
                <c:pt idx="948">
                  <c:v>0</c:v>
                </c:pt>
                <c:pt idx="949">
                  <c:v>3</c:v>
                </c:pt>
                <c:pt idx="950">
                  <c:v>0</c:v>
                </c:pt>
                <c:pt idx="951">
                  <c:v>2</c:v>
                </c:pt>
                <c:pt idx="952">
                  <c:v>1</c:v>
                </c:pt>
                <c:pt idx="953">
                  <c:v>2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1</c:v>
                </c:pt>
                <c:pt idx="963">
                  <c:v>3</c:v>
                </c:pt>
                <c:pt idx="964">
                  <c:v>2</c:v>
                </c:pt>
                <c:pt idx="965">
                  <c:v>1</c:v>
                </c:pt>
                <c:pt idx="966">
                  <c:v>2</c:v>
                </c:pt>
                <c:pt idx="967">
                  <c:v>1</c:v>
                </c:pt>
                <c:pt idx="968">
                  <c:v>2</c:v>
                </c:pt>
                <c:pt idx="969">
                  <c:v>5</c:v>
                </c:pt>
                <c:pt idx="970">
                  <c:v>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3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3</c:v>
                </c:pt>
                <c:pt idx="983">
                  <c:v>1</c:v>
                </c:pt>
                <c:pt idx="984">
                  <c:v>5</c:v>
                </c:pt>
                <c:pt idx="985">
                  <c:v>1</c:v>
                </c:pt>
                <c:pt idx="986">
                  <c:v>3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2</c:v>
                </c:pt>
                <c:pt idx="992">
                  <c:v>2</c:v>
                </c:pt>
                <c:pt idx="993">
                  <c:v>1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0</c:v>
                </c:pt>
                <c:pt idx="998">
                  <c:v>3</c:v>
                </c:pt>
                <c:pt idx="999">
                  <c:v>0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</c:v>
                </c:pt>
                <c:pt idx="1005">
                  <c:v>2</c:v>
                </c:pt>
                <c:pt idx="1006">
                  <c:v>2</c:v>
                </c:pt>
                <c:pt idx="1007">
                  <c:v>3</c:v>
                </c:pt>
                <c:pt idx="1008">
                  <c:v>2</c:v>
                </c:pt>
                <c:pt idx="1009">
                  <c:v>1</c:v>
                </c:pt>
                <c:pt idx="1010">
                  <c:v>0</c:v>
                </c:pt>
                <c:pt idx="1011">
                  <c:v>2</c:v>
                </c:pt>
                <c:pt idx="1012">
                  <c:v>4</c:v>
                </c:pt>
                <c:pt idx="1013">
                  <c:v>1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2</c:v>
                </c:pt>
                <c:pt idx="1018">
                  <c:v>3</c:v>
                </c:pt>
                <c:pt idx="1019">
                  <c:v>2</c:v>
                </c:pt>
                <c:pt idx="1020">
                  <c:v>0</c:v>
                </c:pt>
                <c:pt idx="1021">
                  <c:v>3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0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2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3</c:v>
                </c:pt>
                <c:pt idx="1036">
                  <c:v>2</c:v>
                </c:pt>
                <c:pt idx="1037">
                  <c:v>1</c:v>
                </c:pt>
                <c:pt idx="1038">
                  <c:v>0</c:v>
                </c:pt>
                <c:pt idx="1039">
                  <c:v>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2</c:v>
                </c:pt>
                <c:pt idx="1046">
                  <c:v>0</c:v>
                </c:pt>
                <c:pt idx="1047">
                  <c:v>1</c:v>
                </c:pt>
                <c:pt idx="1048">
                  <c:v>1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1</c:v>
                </c:pt>
                <c:pt idx="1053">
                  <c:v>3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1</c:v>
                </c:pt>
                <c:pt idx="1063">
                  <c:v>3</c:v>
                </c:pt>
                <c:pt idx="1064">
                  <c:v>4</c:v>
                </c:pt>
                <c:pt idx="1065">
                  <c:v>1</c:v>
                </c:pt>
                <c:pt idx="1066">
                  <c:v>2</c:v>
                </c:pt>
                <c:pt idx="1067">
                  <c:v>0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1</c:v>
                </c:pt>
                <c:pt idx="1077">
                  <c:v>0</c:v>
                </c:pt>
                <c:pt idx="1078">
                  <c:v>0</c:v>
                </c:pt>
                <c:pt idx="1079">
                  <c:v>3</c:v>
                </c:pt>
                <c:pt idx="1080">
                  <c:v>2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2</c:v>
                </c:pt>
                <c:pt idx="1085">
                  <c:v>5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3</c:v>
                </c:pt>
                <c:pt idx="1093">
                  <c:v>0</c:v>
                </c:pt>
                <c:pt idx="1094">
                  <c:v>4</c:v>
                </c:pt>
                <c:pt idx="1095">
                  <c:v>4</c:v>
                </c:pt>
                <c:pt idx="1096">
                  <c:v>2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2</c:v>
                </c:pt>
                <c:pt idx="1101">
                  <c:v>3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2</c:v>
                </c:pt>
                <c:pt idx="1108">
                  <c:v>1</c:v>
                </c:pt>
                <c:pt idx="1109">
                  <c:v>3</c:v>
                </c:pt>
                <c:pt idx="1110">
                  <c:v>1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0</c:v>
                </c:pt>
                <c:pt idx="1115">
                  <c:v>1</c:v>
                </c:pt>
                <c:pt idx="1116">
                  <c:v>5</c:v>
                </c:pt>
                <c:pt idx="1117">
                  <c:v>2</c:v>
                </c:pt>
                <c:pt idx="1118">
                  <c:v>1</c:v>
                </c:pt>
                <c:pt idx="1119">
                  <c:v>3</c:v>
                </c:pt>
                <c:pt idx="1120">
                  <c:v>0</c:v>
                </c:pt>
                <c:pt idx="1121">
                  <c:v>2</c:v>
                </c:pt>
                <c:pt idx="1122">
                  <c:v>3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2</c:v>
                </c:pt>
                <c:pt idx="1128">
                  <c:v>1</c:v>
                </c:pt>
                <c:pt idx="1129">
                  <c:v>0</c:v>
                </c:pt>
                <c:pt idx="1130">
                  <c:v>5</c:v>
                </c:pt>
                <c:pt idx="1131">
                  <c:v>2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1</c:v>
                </c:pt>
                <c:pt idx="1141">
                  <c:v>3</c:v>
                </c:pt>
                <c:pt idx="1142">
                  <c:v>0</c:v>
                </c:pt>
                <c:pt idx="1143">
                  <c:v>2</c:v>
                </c:pt>
                <c:pt idx="1144">
                  <c:v>2</c:v>
                </c:pt>
                <c:pt idx="1145">
                  <c:v>3</c:v>
                </c:pt>
                <c:pt idx="1146">
                  <c:v>0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3</c:v>
                </c:pt>
                <c:pt idx="1153">
                  <c:v>1</c:v>
                </c:pt>
                <c:pt idx="1154">
                  <c:v>4</c:v>
                </c:pt>
                <c:pt idx="1155">
                  <c:v>3</c:v>
                </c:pt>
                <c:pt idx="1156">
                  <c:v>0</c:v>
                </c:pt>
                <c:pt idx="1157">
                  <c:v>2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2</c:v>
                </c:pt>
                <c:pt idx="1162">
                  <c:v>1</c:v>
                </c:pt>
                <c:pt idx="1163">
                  <c:v>0</c:v>
                </c:pt>
                <c:pt idx="1164">
                  <c:v>1</c:v>
                </c:pt>
                <c:pt idx="1165">
                  <c:v>0</c:v>
                </c:pt>
                <c:pt idx="1166">
                  <c:v>0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1</c:v>
                </c:pt>
                <c:pt idx="1171">
                  <c:v>2</c:v>
                </c:pt>
                <c:pt idx="1172">
                  <c:v>0</c:v>
                </c:pt>
                <c:pt idx="1173">
                  <c:v>2</c:v>
                </c:pt>
                <c:pt idx="1174">
                  <c:v>2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1</c:v>
                </c:pt>
                <c:pt idx="1185">
                  <c:v>2</c:v>
                </c:pt>
                <c:pt idx="1186">
                  <c:v>3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2</c:v>
                </c:pt>
                <c:pt idx="1191">
                  <c:v>1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3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0</c:v>
                </c:pt>
                <c:pt idx="1203">
                  <c:v>1</c:v>
                </c:pt>
                <c:pt idx="1204">
                  <c:v>3</c:v>
                </c:pt>
                <c:pt idx="1205">
                  <c:v>1</c:v>
                </c:pt>
                <c:pt idx="1206">
                  <c:v>2</c:v>
                </c:pt>
                <c:pt idx="1207">
                  <c:v>2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2</c:v>
                </c:pt>
                <c:pt idx="1212">
                  <c:v>0</c:v>
                </c:pt>
                <c:pt idx="1213">
                  <c:v>2</c:v>
                </c:pt>
                <c:pt idx="1214">
                  <c:v>1</c:v>
                </c:pt>
                <c:pt idx="1215">
                  <c:v>0</c:v>
                </c:pt>
                <c:pt idx="1216">
                  <c:v>0</c:v>
                </c:pt>
                <c:pt idx="1217">
                  <c:v>2</c:v>
                </c:pt>
                <c:pt idx="1218">
                  <c:v>1</c:v>
                </c:pt>
                <c:pt idx="1219">
                  <c:v>3</c:v>
                </c:pt>
                <c:pt idx="1220">
                  <c:v>1</c:v>
                </c:pt>
                <c:pt idx="1221">
                  <c:v>2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2</c:v>
                </c:pt>
                <c:pt idx="1227">
                  <c:v>2</c:v>
                </c:pt>
                <c:pt idx="1228">
                  <c:v>0</c:v>
                </c:pt>
                <c:pt idx="1229">
                  <c:v>0</c:v>
                </c:pt>
                <c:pt idx="1230">
                  <c:v>3</c:v>
                </c:pt>
                <c:pt idx="1231">
                  <c:v>0</c:v>
                </c:pt>
                <c:pt idx="1232">
                  <c:v>3</c:v>
                </c:pt>
                <c:pt idx="1233">
                  <c:v>0</c:v>
                </c:pt>
                <c:pt idx="1234">
                  <c:v>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3</c:v>
                </c:pt>
                <c:pt idx="1239">
                  <c:v>1</c:v>
                </c:pt>
                <c:pt idx="1240">
                  <c:v>2</c:v>
                </c:pt>
                <c:pt idx="1241">
                  <c:v>2</c:v>
                </c:pt>
                <c:pt idx="1242">
                  <c:v>3</c:v>
                </c:pt>
                <c:pt idx="1243">
                  <c:v>0</c:v>
                </c:pt>
                <c:pt idx="1244">
                  <c:v>0</c:v>
                </c:pt>
                <c:pt idx="1245">
                  <c:v>5</c:v>
                </c:pt>
                <c:pt idx="1246">
                  <c:v>3</c:v>
                </c:pt>
                <c:pt idx="1247">
                  <c:v>4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4</c:v>
                </c:pt>
                <c:pt idx="1254">
                  <c:v>0</c:v>
                </c:pt>
                <c:pt idx="1255">
                  <c:v>0</c:v>
                </c:pt>
                <c:pt idx="1256">
                  <c:v>3</c:v>
                </c:pt>
                <c:pt idx="1257">
                  <c:v>1</c:v>
                </c:pt>
                <c:pt idx="1258">
                  <c:v>3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2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</c:v>
                </c:pt>
                <c:pt idx="1270">
                  <c:v>1</c:v>
                </c:pt>
                <c:pt idx="1271">
                  <c:v>0</c:v>
                </c:pt>
                <c:pt idx="1272">
                  <c:v>5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2</c:v>
                </c:pt>
                <c:pt idx="1280">
                  <c:v>0</c:v>
                </c:pt>
                <c:pt idx="1281">
                  <c:v>2</c:v>
                </c:pt>
                <c:pt idx="1282">
                  <c:v>0</c:v>
                </c:pt>
                <c:pt idx="1283">
                  <c:v>1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2</c:v>
                </c:pt>
                <c:pt idx="1289">
                  <c:v>1</c:v>
                </c:pt>
                <c:pt idx="1290">
                  <c:v>2</c:v>
                </c:pt>
                <c:pt idx="1291">
                  <c:v>0</c:v>
                </c:pt>
                <c:pt idx="1292">
                  <c:v>0</c:v>
                </c:pt>
                <c:pt idx="1293">
                  <c:v>3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2</c:v>
                </c:pt>
                <c:pt idx="1298">
                  <c:v>2</c:v>
                </c:pt>
                <c:pt idx="1299">
                  <c:v>1</c:v>
                </c:pt>
                <c:pt idx="1300">
                  <c:v>0</c:v>
                </c:pt>
                <c:pt idx="1301">
                  <c:v>3</c:v>
                </c:pt>
                <c:pt idx="1302">
                  <c:v>1</c:v>
                </c:pt>
                <c:pt idx="1303">
                  <c:v>0</c:v>
                </c:pt>
                <c:pt idx="1304">
                  <c:v>2</c:v>
                </c:pt>
                <c:pt idx="1305">
                  <c:v>0</c:v>
                </c:pt>
                <c:pt idx="1306">
                  <c:v>0</c:v>
                </c:pt>
                <c:pt idx="1307">
                  <c:v>4</c:v>
                </c:pt>
                <c:pt idx="1308">
                  <c:v>0</c:v>
                </c:pt>
                <c:pt idx="1309">
                  <c:v>2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3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4</c:v>
                </c:pt>
                <c:pt idx="1319">
                  <c:v>2</c:v>
                </c:pt>
                <c:pt idx="1320">
                  <c:v>3</c:v>
                </c:pt>
                <c:pt idx="1321">
                  <c:v>0</c:v>
                </c:pt>
                <c:pt idx="1322">
                  <c:v>0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0</c:v>
                </c:pt>
                <c:pt idx="1332">
                  <c:v>3</c:v>
                </c:pt>
                <c:pt idx="1333">
                  <c:v>3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9A-4C42-8433-061DCA39A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008015"/>
        <c:axId val="2072009727"/>
      </c:scatterChart>
      <c:valAx>
        <c:axId val="2072008015"/>
        <c:scaling>
          <c:orientation val="minMax"/>
        </c:scaling>
        <c:delete val="0"/>
        <c:axPos val="b"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72009727"/>
        <c:crosses val="autoZero"/>
        <c:crossBetween val="midCat"/>
      </c:valAx>
      <c:valAx>
        <c:axId val="2072009727"/>
        <c:scaling>
          <c:orientation val="minMax"/>
        </c:scaling>
        <c:delete val="0"/>
        <c:axPos val="l"/>
        <c:majorGridlines>
          <c:spPr>
            <a:ln>
              <a:solidFill>
                <a:srgbClr val="EEEEFF"/>
              </a:solidFill>
            </a:ln>
          </c:spPr>
        </c:majorGridlines>
        <c:numFmt formatCode="0.000" sourceLinked="0"/>
        <c:majorTickMark val="out"/>
        <c:minorTickMark val="none"/>
        <c:tickLblPos val="nextTo"/>
        <c:crossAx val="207200801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/>
            </a:pPr>
            <a:r>
              <a:rPr lang="en-GB" sz="1000" b="0"/>
              <a:t>charges vs age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3"/>
            <c:spPr>
              <a:ln/>
            </c:spPr>
          </c:marker>
          <c:xVal>
            <c:numRef>
              <c:f>insurance!$A$2:$A$1339</c:f>
              <c:numCache>
                <c:formatCode>General</c:formatCode>
                <c:ptCount val="1338"/>
                <c:pt idx="0">
                  <c:v>19</c:v>
                </c:pt>
                <c:pt idx="1">
                  <c:v>18</c:v>
                </c:pt>
                <c:pt idx="2">
                  <c:v>28</c:v>
                </c:pt>
                <c:pt idx="3">
                  <c:v>33</c:v>
                </c:pt>
                <c:pt idx="4">
                  <c:v>32</c:v>
                </c:pt>
                <c:pt idx="5">
                  <c:v>31</c:v>
                </c:pt>
                <c:pt idx="6">
                  <c:v>46</c:v>
                </c:pt>
                <c:pt idx="7">
                  <c:v>37</c:v>
                </c:pt>
                <c:pt idx="8">
                  <c:v>37</c:v>
                </c:pt>
                <c:pt idx="9">
                  <c:v>60</c:v>
                </c:pt>
                <c:pt idx="10">
                  <c:v>25</c:v>
                </c:pt>
                <c:pt idx="11">
                  <c:v>62</c:v>
                </c:pt>
                <c:pt idx="12">
                  <c:v>23</c:v>
                </c:pt>
                <c:pt idx="13">
                  <c:v>56</c:v>
                </c:pt>
                <c:pt idx="14">
                  <c:v>27</c:v>
                </c:pt>
                <c:pt idx="15">
                  <c:v>19</c:v>
                </c:pt>
                <c:pt idx="16">
                  <c:v>52</c:v>
                </c:pt>
                <c:pt idx="17">
                  <c:v>23</c:v>
                </c:pt>
                <c:pt idx="18">
                  <c:v>56</c:v>
                </c:pt>
                <c:pt idx="19">
                  <c:v>30</c:v>
                </c:pt>
                <c:pt idx="20">
                  <c:v>60</c:v>
                </c:pt>
                <c:pt idx="21">
                  <c:v>30</c:v>
                </c:pt>
                <c:pt idx="22">
                  <c:v>18</c:v>
                </c:pt>
                <c:pt idx="23">
                  <c:v>34</c:v>
                </c:pt>
                <c:pt idx="24">
                  <c:v>37</c:v>
                </c:pt>
                <c:pt idx="25">
                  <c:v>59</c:v>
                </c:pt>
                <c:pt idx="26">
                  <c:v>63</c:v>
                </c:pt>
                <c:pt idx="27">
                  <c:v>55</c:v>
                </c:pt>
                <c:pt idx="28">
                  <c:v>23</c:v>
                </c:pt>
                <c:pt idx="29">
                  <c:v>31</c:v>
                </c:pt>
                <c:pt idx="30">
                  <c:v>22</c:v>
                </c:pt>
                <c:pt idx="31">
                  <c:v>18</c:v>
                </c:pt>
                <c:pt idx="32">
                  <c:v>19</c:v>
                </c:pt>
                <c:pt idx="33">
                  <c:v>63</c:v>
                </c:pt>
                <c:pt idx="34">
                  <c:v>28</c:v>
                </c:pt>
                <c:pt idx="35">
                  <c:v>19</c:v>
                </c:pt>
                <c:pt idx="36">
                  <c:v>62</c:v>
                </c:pt>
                <c:pt idx="37">
                  <c:v>26</c:v>
                </c:pt>
                <c:pt idx="38">
                  <c:v>35</c:v>
                </c:pt>
                <c:pt idx="39">
                  <c:v>60</c:v>
                </c:pt>
                <c:pt idx="40">
                  <c:v>24</c:v>
                </c:pt>
                <c:pt idx="41">
                  <c:v>31</c:v>
                </c:pt>
                <c:pt idx="42">
                  <c:v>41</c:v>
                </c:pt>
                <c:pt idx="43">
                  <c:v>37</c:v>
                </c:pt>
                <c:pt idx="44">
                  <c:v>38</c:v>
                </c:pt>
                <c:pt idx="45">
                  <c:v>55</c:v>
                </c:pt>
                <c:pt idx="46">
                  <c:v>18</c:v>
                </c:pt>
                <c:pt idx="47">
                  <c:v>28</c:v>
                </c:pt>
                <c:pt idx="48">
                  <c:v>60</c:v>
                </c:pt>
                <c:pt idx="49">
                  <c:v>36</c:v>
                </c:pt>
                <c:pt idx="50">
                  <c:v>18</c:v>
                </c:pt>
                <c:pt idx="51">
                  <c:v>21</c:v>
                </c:pt>
                <c:pt idx="52">
                  <c:v>48</c:v>
                </c:pt>
                <c:pt idx="53">
                  <c:v>36</c:v>
                </c:pt>
                <c:pt idx="54">
                  <c:v>40</c:v>
                </c:pt>
                <c:pt idx="55">
                  <c:v>58</c:v>
                </c:pt>
                <c:pt idx="56">
                  <c:v>58</c:v>
                </c:pt>
                <c:pt idx="57">
                  <c:v>18</c:v>
                </c:pt>
                <c:pt idx="58">
                  <c:v>53</c:v>
                </c:pt>
                <c:pt idx="59">
                  <c:v>34</c:v>
                </c:pt>
                <c:pt idx="60">
                  <c:v>43</c:v>
                </c:pt>
                <c:pt idx="61">
                  <c:v>25</c:v>
                </c:pt>
                <c:pt idx="62">
                  <c:v>64</c:v>
                </c:pt>
                <c:pt idx="63">
                  <c:v>28</c:v>
                </c:pt>
                <c:pt idx="64">
                  <c:v>20</c:v>
                </c:pt>
                <c:pt idx="65">
                  <c:v>19</c:v>
                </c:pt>
                <c:pt idx="66">
                  <c:v>61</c:v>
                </c:pt>
                <c:pt idx="67">
                  <c:v>40</c:v>
                </c:pt>
                <c:pt idx="68">
                  <c:v>40</c:v>
                </c:pt>
                <c:pt idx="69">
                  <c:v>28</c:v>
                </c:pt>
                <c:pt idx="70">
                  <c:v>27</c:v>
                </c:pt>
                <c:pt idx="71">
                  <c:v>31</c:v>
                </c:pt>
                <c:pt idx="72">
                  <c:v>53</c:v>
                </c:pt>
                <c:pt idx="73">
                  <c:v>58</c:v>
                </c:pt>
                <c:pt idx="74">
                  <c:v>44</c:v>
                </c:pt>
                <c:pt idx="75">
                  <c:v>57</c:v>
                </c:pt>
                <c:pt idx="76">
                  <c:v>29</c:v>
                </c:pt>
                <c:pt idx="77">
                  <c:v>21</c:v>
                </c:pt>
                <c:pt idx="78">
                  <c:v>22</c:v>
                </c:pt>
                <c:pt idx="79">
                  <c:v>41</c:v>
                </c:pt>
                <c:pt idx="80">
                  <c:v>31</c:v>
                </c:pt>
                <c:pt idx="81">
                  <c:v>45</c:v>
                </c:pt>
                <c:pt idx="82">
                  <c:v>22</c:v>
                </c:pt>
                <c:pt idx="83">
                  <c:v>48</c:v>
                </c:pt>
                <c:pt idx="84">
                  <c:v>37</c:v>
                </c:pt>
                <c:pt idx="85">
                  <c:v>45</c:v>
                </c:pt>
                <c:pt idx="86">
                  <c:v>57</c:v>
                </c:pt>
                <c:pt idx="87">
                  <c:v>56</c:v>
                </c:pt>
                <c:pt idx="88">
                  <c:v>46</c:v>
                </c:pt>
                <c:pt idx="89">
                  <c:v>55</c:v>
                </c:pt>
                <c:pt idx="90">
                  <c:v>21</c:v>
                </c:pt>
                <c:pt idx="91">
                  <c:v>53</c:v>
                </c:pt>
                <c:pt idx="92">
                  <c:v>59</c:v>
                </c:pt>
                <c:pt idx="93">
                  <c:v>35</c:v>
                </c:pt>
                <c:pt idx="94">
                  <c:v>64</c:v>
                </c:pt>
                <c:pt idx="95">
                  <c:v>28</c:v>
                </c:pt>
                <c:pt idx="96">
                  <c:v>54</c:v>
                </c:pt>
                <c:pt idx="97">
                  <c:v>55</c:v>
                </c:pt>
                <c:pt idx="98">
                  <c:v>56</c:v>
                </c:pt>
                <c:pt idx="99">
                  <c:v>38</c:v>
                </c:pt>
                <c:pt idx="100">
                  <c:v>41</c:v>
                </c:pt>
                <c:pt idx="101">
                  <c:v>30</c:v>
                </c:pt>
                <c:pt idx="102">
                  <c:v>18</c:v>
                </c:pt>
                <c:pt idx="103">
                  <c:v>61</c:v>
                </c:pt>
                <c:pt idx="104">
                  <c:v>34</c:v>
                </c:pt>
                <c:pt idx="105">
                  <c:v>20</c:v>
                </c:pt>
                <c:pt idx="106">
                  <c:v>19</c:v>
                </c:pt>
                <c:pt idx="107">
                  <c:v>26</c:v>
                </c:pt>
                <c:pt idx="108">
                  <c:v>29</c:v>
                </c:pt>
                <c:pt idx="109">
                  <c:v>63</c:v>
                </c:pt>
                <c:pt idx="110">
                  <c:v>54</c:v>
                </c:pt>
                <c:pt idx="111">
                  <c:v>55</c:v>
                </c:pt>
                <c:pt idx="112">
                  <c:v>37</c:v>
                </c:pt>
                <c:pt idx="113">
                  <c:v>21</c:v>
                </c:pt>
                <c:pt idx="114">
                  <c:v>52</c:v>
                </c:pt>
                <c:pt idx="115">
                  <c:v>60</c:v>
                </c:pt>
                <c:pt idx="116">
                  <c:v>58</c:v>
                </c:pt>
                <c:pt idx="117">
                  <c:v>29</c:v>
                </c:pt>
                <c:pt idx="118">
                  <c:v>49</c:v>
                </c:pt>
                <c:pt idx="119">
                  <c:v>37</c:v>
                </c:pt>
                <c:pt idx="120">
                  <c:v>44</c:v>
                </c:pt>
                <c:pt idx="121">
                  <c:v>18</c:v>
                </c:pt>
                <c:pt idx="122">
                  <c:v>20</c:v>
                </c:pt>
                <c:pt idx="123">
                  <c:v>44</c:v>
                </c:pt>
                <c:pt idx="124">
                  <c:v>47</c:v>
                </c:pt>
                <c:pt idx="125">
                  <c:v>26</c:v>
                </c:pt>
                <c:pt idx="126">
                  <c:v>19</c:v>
                </c:pt>
                <c:pt idx="127">
                  <c:v>52</c:v>
                </c:pt>
                <c:pt idx="128">
                  <c:v>32</c:v>
                </c:pt>
                <c:pt idx="129">
                  <c:v>38</c:v>
                </c:pt>
                <c:pt idx="130">
                  <c:v>59</c:v>
                </c:pt>
                <c:pt idx="131">
                  <c:v>61</c:v>
                </c:pt>
                <c:pt idx="132">
                  <c:v>53</c:v>
                </c:pt>
                <c:pt idx="133">
                  <c:v>19</c:v>
                </c:pt>
                <c:pt idx="134">
                  <c:v>20</c:v>
                </c:pt>
                <c:pt idx="135">
                  <c:v>22</c:v>
                </c:pt>
                <c:pt idx="136">
                  <c:v>19</c:v>
                </c:pt>
                <c:pt idx="137">
                  <c:v>22</c:v>
                </c:pt>
                <c:pt idx="138">
                  <c:v>54</c:v>
                </c:pt>
                <c:pt idx="139">
                  <c:v>22</c:v>
                </c:pt>
                <c:pt idx="140">
                  <c:v>34</c:v>
                </c:pt>
                <c:pt idx="141">
                  <c:v>26</c:v>
                </c:pt>
                <c:pt idx="142">
                  <c:v>34</c:v>
                </c:pt>
                <c:pt idx="143">
                  <c:v>29</c:v>
                </c:pt>
                <c:pt idx="144">
                  <c:v>30</c:v>
                </c:pt>
                <c:pt idx="145">
                  <c:v>29</c:v>
                </c:pt>
                <c:pt idx="146">
                  <c:v>46</c:v>
                </c:pt>
                <c:pt idx="147">
                  <c:v>51</c:v>
                </c:pt>
                <c:pt idx="148">
                  <c:v>53</c:v>
                </c:pt>
                <c:pt idx="149">
                  <c:v>19</c:v>
                </c:pt>
                <c:pt idx="150">
                  <c:v>35</c:v>
                </c:pt>
                <c:pt idx="151">
                  <c:v>48</c:v>
                </c:pt>
                <c:pt idx="152">
                  <c:v>32</c:v>
                </c:pt>
                <c:pt idx="153">
                  <c:v>42</c:v>
                </c:pt>
                <c:pt idx="154">
                  <c:v>40</c:v>
                </c:pt>
                <c:pt idx="155">
                  <c:v>44</c:v>
                </c:pt>
                <c:pt idx="156">
                  <c:v>48</c:v>
                </c:pt>
                <c:pt idx="157">
                  <c:v>18</c:v>
                </c:pt>
                <c:pt idx="158">
                  <c:v>30</c:v>
                </c:pt>
                <c:pt idx="159">
                  <c:v>50</c:v>
                </c:pt>
                <c:pt idx="160">
                  <c:v>42</c:v>
                </c:pt>
                <c:pt idx="161">
                  <c:v>18</c:v>
                </c:pt>
                <c:pt idx="162">
                  <c:v>54</c:v>
                </c:pt>
                <c:pt idx="163">
                  <c:v>32</c:v>
                </c:pt>
                <c:pt idx="164">
                  <c:v>37</c:v>
                </c:pt>
                <c:pt idx="165">
                  <c:v>47</c:v>
                </c:pt>
                <c:pt idx="166">
                  <c:v>20</c:v>
                </c:pt>
                <c:pt idx="167">
                  <c:v>32</c:v>
                </c:pt>
                <c:pt idx="168">
                  <c:v>19</c:v>
                </c:pt>
                <c:pt idx="169">
                  <c:v>27</c:v>
                </c:pt>
                <c:pt idx="170">
                  <c:v>63</c:v>
                </c:pt>
                <c:pt idx="171">
                  <c:v>49</c:v>
                </c:pt>
                <c:pt idx="172">
                  <c:v>18</c:v>
                </c:pt>
                <c:pt idx="173">
                  <c:v>35</c:v>
                </c:pt>
                <c:pt idx="174">
                  <c:v>24</c:v>
                </c:pt>
                <c:pt idx="175">
                  <c:v>63</c:v>
                </c:pt>
                <c:pt idx="176">
                  <c:v>38</c:v>
                </c:pt>
                <c:pt idx="177">
                  <c:v>54</c:v>
                </c:pt>
                <c:pt idx="178">
                  <c:v>46</c:v>
                </c:pt>
                <c:pt idx="179">
                  <c:v>41</c:v>
                </c:pt>
                <c:pt idx="180">
                  <c:v>58</c:v>
                </c:pt>
                <c:pt idx="181">
                  <c:v>18</c:v>
                </c:pt>
                <c:pt idx="182">
                  <c:v>22</c:v>
                </c:pt>
                <c:pt idx="183">
                  <c:v>44</c:v>
                </c:pt>
                <c:pt idx="184">
                  <c:v>44</c:v>
                </c:pt>
                <c:pt idx="185">
                  <c:v>36</c:v>
                </c:pt>
                <c:pt idx="186">
                  <c:v>26</c:v>
                </c:pt>
                <c:pt idx="187">
                  <c:v>30</c:v>
                </c:pt>
                <c:pt idx="188">
                  <c:v>41</c:v>
                </c:pt>
                <c:pt idx="189">
                  <c:v>29</c:v>
                </c:pt>
                <c:pt idx="190">
                  <c:v>61</c:v>
                </c:pt>
                <c:pt idx="191">
                  <c:v>36</c:v>
                </c:pt>
                <c:pt idx="192">
                  <c:v>25</c:v>
                </c:pt>
                <c:pt idx="193">
                  <c:v>56</c:v>
                </c:pt>
                <c:pt idx="194">
                  <c:v>18</c:v>
                </c:pt>
                <c:pt idx="195">
                  <c:v>19</c:v>
                </c:pt>
                <c:pt idx="196">
                  <c:v>39</c:v>
                </c:pt>
                <c:pt idx="197">
                  <c:v>45</c:v>
                </c:pt>
                <c:pt idx="198">
                  <c:v>51</c:v>
                </c:pt>
                <c:pt idx="199">
                  <c:v>64</c:v>
                </c:pt>
                <c:pt idx="200">
                  <c:v>19</c:v>
                </c:pt>
                <c:pt idx="201">
                  <c:v>48</c:v>
                </c:pt>
                <c:pt idx="202">
                  <c:v>60</c:v>
                </c:pt>
                <c:pt idx="203">
                  <c:v>27</c:v>
                </c:pt>
                <c:pt idx="204">
                  <c:v>46</c:v>
                </c:pt>
                <c:pt idx="205">
                  <c:v>28</c:v>
                </c:pt>
                <c:pt idx="206">
                  <c:v>59</c:v>
                </c:pt>
                <c:pt idx="207">
                  <c:v>35</c:v>
                </c:pt>
                <c:pt idx="208">
                  <c:v>63</c:v>
                </c:pt>
                <c:pt idx="209">
                  <c:v>40</c:v>
                </c:pt>
                <c:pt idx="210">
                  <c:v>20</c:v>
                </c:pt>
                <c:pt idx="211">
                  <c:v>40</c:v>
                </c:pt>
                <c:pt idx="212">
                  <c:v>24</c:v>
                </c:pt>
                <c:pt idx="213">
                  <c:v>34</c:v>
                </c:pt>
                <c:pt idx="214">
                  <c:v>45</c:v>
                </c:pt>
                <c:pt idx="215">
                  <c:v>41</c:v>
                </c:pt>
                <c:pt idx="216">
                  <c:v>53</c:v>
                </c:pt>
                <c:pt idx="217">
                  <c:v>27</c:v>
                </c:pt>
                <c:pt idx="218">
                  <c:v>26</c:v>
                </c:pt>
                <c:pt idx="219">
                  <c:v>24</c:v>
                </c:pt>
                <c:pt idx="220">
                  <c:v>34</c:v>
                </c:pt>
                <c:pt idx="221">
                  <c:v>53</c:v>
                </c:pt>
                <c:pt idx="222">
                  <c:v>32</c:v>
                </c:pt>
                <c:pt idx="223">
                  <c:v>19</c:v>
                </c:pt>
                <c:pt idx="224">
                  <c:v>42</c:v>
                </c:pt>
                <c:pt idx="225">
                  <c:v>55</c:v>
                </c:pt>
                <c:pt idx="226">
                  <c:v>28</c:v>
                </c:pt>
                <c:pt idx="227">
                  <c:v>58</c:v>
                </c:pt>
                <c:pt idx="228">
                  <c:v>41</c:v>
                </c:pt>
                <c:pt idx="229">
                  <c:v>47</c:v>
                </c:pt>
                <c:pt idx="230">
                  <c:v>42</c:v>
                </c:pt>
                <c:pt idx="231">
                  <c:v>59</c:v>
                </c:pt>
                <c:pt idx="232">
                  <c:v>19</c:v>
                </c:pt>
                <c:pt idx="233">
                  <c:v>59</c:v>
                </c:pt>
                <c:pt idx="234">
                  <c:v>39</c:v>
                </c:pt>
                <c:pt idx="235">
                  <c:v>40</c:v>
                </c:pt>
                <c:pt idx="236">
                  <c:v>18</c:v>
                </c:pt>
                <c:pt idx="237">
                  <c:v>31</c:v>
                </c:pt>
                <c:pt idx="238">
                  <c:v>19</c:v>
                </c:pt>
                <c:pt idx="239">
                  <c:v>44</c:v>
                </c:pt>
                <c:pt idx="240">
                  <c:v>23</c:v>
                </c:pt>
                <c:pt idx="241">
                  <c:v>33</c:v>
                </c:pt>
                <c:pt idx="242">
                  <c:v>55</c:v>
                </c:pt>
                <c:pt idx="243">
                  <c:v>40</c:v>
                </c:pt>
                <c:pt idx="244">
                  <c:v>63</c:v>
                </c:pt>
                <c:pt idx="245">
                  <c:v>54</c:v>
                </c:pt>
                <c:pt idx="246">
                  <c:v>60</c:v>
                </c:pt>
                <c:pt idx="247">
                  <c:v>24</c:v>
                </c:pt>
                <c:pt idx="248">
                  <c:v>19</c:v>
                </c:pt>
                <c:pt idx="249">
                  <c:v>29</c:v>
                </c:pt>
                <c:pt idx="250">
                  <c:v>18</c:v>
                </c:pt>
                <c:pt idx="251">
                  <c:v>63</c:v>
                </c:pt>
                <c:pt idx="252">
                  <c:v>54</c:v>
                </c:pt>
                <c:pt idx="253">
                  <c:v>27</c:v>
                </c:pt>
                <c:pt idx="254">
                  <c:v>50</c:v>
                </c:pt>
                <c:pt idx="255">
                  <c:v>55</c:v>
                </c:pt>
                <c:pt idx="256">
                  <c:v>56</c:v>
                </c:pt>
                <c:pt idx="257">
                  <c:v>38</c:v>
                </c:pt>
                <c:pt idx="258">
                  <c:v>51</c:v>
                </c:pt>
                <c:pt idx="259">
                  <c:v>19</c:v>
                </c:pt>
                <c:pt idx="260">
                  <c:v>58</c:v>
                </c:pt>
                <c:pt idx="261">
                  <c:v>20</c:v>
                </c:pt>
                <c:pt idx="262">
                  <c:v>52</c:v>
                </c:pt>
                <c:pt idx="263">
                  <c:v>19</c:v>
                </c:pt>
                <c:pt idx="264">
                  <c:v>53</c:v>
                </c:pt>
                <c:pt idx="265">
                  <c:v>46</c:v>
                </c:pt>
                <c:pt idx="266">
                  <c:v>40</c:v>
                </c:pt>
                <c:pt idx="267">
                  <c:v>59</c:v>
                </c:pt>
                <c:pt idx="268">
                  <c:v>45</c:v>
                </c:pt>
                <c:pt idx="269">
                  <c:v>49</c:v>
                </c:pt>
                <c:pt idx="270">
                  <c:v>18</c:v>
                </c:pt>
                <c:pt idx="271">
                  <c:v>50</c:v>
                </c:pt>
                <c:pt idx="272">
                  <c:v>41</c:v>
                </c:pt>
                <c:pt idx="273">
                  <c:v>50</c:v>
                </c:pt>
                <c:pt idx="274">
                  <c:v>25</c:v>
                </c:pt>
                <c:pt idx="275">
                  <c:v>47</c:v>
                </c:pt>
                <c:pt idx="276">
                  <c:v>19</c:v>
                </c:pt>
                <c:pt idx="277">
                  <c:v>22</c:v>
                </c:pt>
                <c:pt idx="278">
                  <c:v>59</c:v>
                </c:pt>
                <c:pt idx="279">
                  <c:v>51</c:v>
                </c:pt>
                <c:pt idx="280">
                  <c:v>40</c:v>
                </c:pt>
                <c:pt idx="281">
                  <c:v>54</c:v>
                </c:pt>
                <c:pt idx="282">
                  <c:v>30</c:v>
                </c:pt>
                <c:pt idx="283">
                  <c:v>55</c:v>
                </c:pt>
                <c:pt idx="284">
                  <c:v>52</c:v>
                </c:pt>
                <c:pt idx="285">
                  <c:v>46</c:v>
                </c:pt>
                <c:pt idx="286">
                  <c:v>46</c:v>
                </c:pt>
                <c:pt idx="287">
                  <c:v>63</c:v>
                </c:pt>
                <c:pt idx="288">
                  <c:v>59</c:v>
                </c:pt>
                <c:pt idx="289">
                  <c:v>52</c:v>
                </c:pt>
                <c:pt idx="290">
                  <c:v>28</c:v>
                </c:pt>
                <c:pt idx="291">
                  <c:v>29</c:v>
                </c:pt>
                <c:pt idx="292">
                  <c:v>25</c:v>
                </c:pt>
                <c:pt idx="293">
                  <c:v>22</c:v>
                </c:pt>
                <c:pt idx="294">
                  <c:v>25</c:v>
                </c:pt>
                <c:pt idx="295">
                  <c:v>18</c:v>
                </c:pt>
                <c:pt idx="296">
                  <c:v>19</c:v>
                </c:pt>
                <c:pt idx="297">
                  <c:v>47</c:v>
                </c:pt>
                <c:pt idx="298">
                  <c:v>31</c:v>
                </c:pt>
                <c:pt idx="299">
                  <c:v>48</c:v>
                </c:pt>
                <c:pt idx="300">
                  <c:v>36</c:v>
                </c:pt>
                <c:pt idx="301">
                  <c:v>53</c:v>
                </c:pt>
                <c:pt idx="302">
                  <c:v>56</c:v>
                </c:pt>
                <c:pt idx="303">
                  <c:v>28</c:v>
                </c:pt>
                <c:pt idx="304">
                  <c:v>57</c:v>
                </c:pt>
                <c:pt idx="305">
                  <c:v>29</c:v>
                </c:pt>
                <c:pt idx="306">
                  <c:v>28</c:v>
                </c:pt>
                <c:pt idx="307">
                  <c:v>30</c:v>
                </c:pt>
                <c:pt idx="308">
                  <c:v>58</c:v>
                </c:pt>
                <c:pt idx="309">
                  <c:v>41</c:v>
                </c:pt>
                <c:pt idx="310">
                  <c:v>50</c:v>
                </c:pt>
                <c:pt idx="311">
                  <c:v>19</c:v>
                </c:pt>
                <c:pt idx="312">
                  <c:v>43</c:v>
                </c:pt>
                <c:pt idx="313">
                  <c:v>49</c:v>
                </c:pt>
                <c:pt idx="314">
                  <c:v>27</c:v>
                </c:pt>
                <c:pt idx="315">
                  <c:v>52</c:v>
                </c:pt>
                <c:pt idx="316">
                  <c:v>50</c:v>
                </c:pt>
                <c:pt idx="317">
                  <c:v>54</c:v>
                </c:pt>
                <c:pt idx="318">
                  <c:v>44</c:v>
                </c:pt>
                <c:pt idx="319">
                  <c:v>32</c:v>
                </c:pt>
                <c:pt idx="320">
                  <c:v>34</c:v>
                </c:pt>
                <c:pt idx="321">
                  <c:v>26</c:v>
                </c:pt>
                <c:pt idx="322">
                  <c:v>34</c:v>
                </c:pt>
                <c:pt idx="323">
                  <c:v>57</c:v>
                </c:pt>
                <c:pt idx="324">
                  <c:v>29</c:v>
                </c:pt>
                <c:pt idx="325">
                  <c:v>40</c:v>
                </c:pt>
                <c:pt idx="326">
                  <c:v>27</c:v>
                </c:pt>
                <c:pt idx="327">
                  <c:v>45</c:v>
                </c:pt>
                <c:pt idx="328">
                  <c:v>64</c:v>
                </c:pt>
                <c:pt idx="329">
                  <c:v>52</c:v>
                </c:pt>
                <c:pt idx="330">
                  <c:v>61</c:v>
                </c:pt>
                <c:pt idx="331">
                  <c:v>52</c:v>
                </c:pt>
                <c:pt idx="332">
                  <c:v>61</c:v>
                </c:pt>
                <c:pt idx="333">
                  <c:v>56</c:v>
                </c:pt>
                <c:pt idx="334">
                  <c:v>43</c:v>
                </c:pt>
                <c:pt idx="335">
                  <c:v>64</c:v>
                </c:pt>
                <c:pt idx="336">
                  <c:v>60</c:v>
                </c:pt>
                <c:pt idx="337">
                  <c:v>62</c:v>
                </c:pt>
                <c:pt idx="338">
                  <c:v>50</c:v>
                </c:pt>
                <c:pt idx="339">
                  <c:v>46</c:v>
                </c:pt>
                <c:pt idx="340">
                  <c:v>24</c:v>
                </c:pt>
                <c:pt idx="341">
                  <c:v>62</c:v>
                </c:pt>
                <c:pt idx="342">
                  <c:v>60</c:v>
                </c:pt>
                <c:pt idx="343">
                  <c:v>63</c:v>
                </c:pt>
                <c:pt idx="344">
                  <c:v>49</c:v>
                </c:pt>
                <c:pt idx="345">
                  <c:v>34</c:v>
                </c:pt>
                <c:pt idx="346">
                  <c:v>33</c:v>
                </c:pt>
                <c:pt idx="347">
                  <c:v>46</c:v>
                </c:pt>
                <c:pt idx="348">
                  <c:v>36</c:v>
                </c:pt>
                <c:pt idx="349">
                  <c:v>19</c:v>
                </c:pt>
                <c:pt idx="350">
                  <c:v>57</c:v>
                </c:pt>
                <c:pt idx="351">
                  <c:v>50</c:v>
                </c:pt>
                <c:pt idx="352">
                  <c:v>30</c:v>
                </c:pt>
                <c:pt idx="353">
                  <c:v>33</c:v>
                </c:pt>
                <c:pt idx="354">
                  <c:v>18</c:v>
                </c:pt>
                <c:pt idx="355">
                  <c:v>46</c:v>
                </c:pt>
                <c:pt idx="356">
                  <c:v>46</c:v>
                </c:pt>
                <c:pt idx="357">
                  <c:v>47</c:v>
                </c:pt>
                <c:pt idx="358">
                  <c:v>23</c:v>
                </c:pt>
                <c:pt idx="359">
                  <c:v>18</c:v>
                </c:pt>
                <c:pt idx="360">
                  <c:v>48</c:v>
                </c:pt>
                <c:pt idx="361">
                  <c:v>35</c:v>
                </c:pt>
                <c:pt idx="362">
                  <c:v>19</c:v>
                </c:pt>
                <c:pt idx="363">
                  <c:v>21</c:v>
                </c:pt>
                <c:pt idx="364">
                  <c:v>21</c:v>
                </c:pt>
                <c:pt idx="365">
                  <c:v>49</c:v>
                </c:pt>
                <c:pt idx="366">
                  <c:v>56</c:v>
                </c:pt>
                <c:pt idx="367">
                  <c:v>42</c:v>
                </c:pt>
                <c:pt idx="368">
                  <c:v>44</c:v>
                </c:pt>
                <c:pt idx="369">
                  <c:v>18</c:v>
                </c:pt>
                <c:pt idx="370">
                  <c:v>61</c:v>
                </c:pt>
                <c:pt idx="371">
                  <c:v>57</c:v>
                </c:pt>
                <c:pt idx="372">
                  <c:v>42</c:v>
                </c:pt>
                <c:pt idx="373">
                  <c:v>26</c:v>
                </c:pt>
                <c:pt idx="374">
                  <c:v>20</c:v>
                </c:pt>
                <c:pt idx="375">
                  <c:v>23</c:v>
                </c:pt>
                <c:pt idx="376">
                  <c:v>39</c:v>
                </c:pt>
                <c:pt idx="377">
                  <c:v>24</c:v>
                </c:pt>
                <c:pt idx="378">
                  <c:v>64</c:v>
                </c:pt>
                <c:pt idx="379">
                  <c:v>62</c:v>
                </c:pt>
                <c:pt idx="380">
                  <c:v>27</c:v>
                </c:pt>
                <c:pt idx="381">
                  <c:v>55</c:v>
                </c:pt>
                <c:pt idx="382">
                  <c:v>55</c:v>
                </c:pt>
                <c:pt idx="383">
                  <c:v>35</c:v>
                </c:pt>
                <c:pt idx="384">
                  <c:v>44</c:v>
                </c:pt>
                <c:pt idx="385">
                  <c:v>19</c:v>
                </c:pt>
                <c:pt idx="386">
                  <c:v>58</c:v>
                </c:pt>
                <c:pt idx="387">
                  <c:v>50</c:v>
                </c:pt>
                <c:pt idx="388">
                  <c:v>26</c:v>
                </c:pt>
                <c:pt idx="389">
                  <c:v>24</c:v>
                </c:pt>
                <c:pt idx="390">
                  <c:v>48</c:v>
                </c:pt>
                <c:pt idx="391">
                  <c:v>19</c:v>
                </c:pt>
                <c:pt idx="392">
                  <c:v>48</c:v>
                </c:pt>
                <c:pt idx="393">
                  <c:v>49</c:v>
                </c:pt>
                <c:pt idx="394">
                  <c:v>46</c:v>
                </c:pt>
                <c:pt idx="395">
                  <c:v>46</c:v>
                </c:pt>
                <c:pt idx="396">
                  <c:v>43</c:v>
                </c:pt>
                <c:pt idx="397">
                  <c:v>21</c:v>
                </c:pt>
                <c:pt idx="398">
                  <c:v>64</c:v>
                </c:pt>
                <c:pt idx="399">
                  <c:v>18</c:v>
                </c:pt>
                <c:pt idx="400">
                  <c:v>51</c:v>
                </c:pt>
                <c:pt idx="401">
                  <c:v>47</c:v>
                </c:pt>
                <c:pt idx="402">
                  <c:v>64</c:v>
                </c:pt>
                <c:pt idx="403">
                  <c:v>49</c:v>
                </c:pt>
                <c:pt idx="404">
                  <c:v>31</c:v>
                </c:pt>
                <c:pt idx="405">
                  <c:v>52</c:v>
                </c:pt>
                <c:pt idx="406">
                  <c:v>33</c:v>
                </c:pt>
                <c:pt idx="407">
                  <c:v>47</c:v>
                </c:pt>
                <c:pt idx="408">
                  <c:v>38</c:v>
                </c:pt>
                <c:pt idx="409">
                  <c:v>32</c:v>
                </c:pt>
                <c:pt idx="410">
                  <c:v>19</c:v>
                </c:pt>
                <c:pt idx="411">
                  <c:v>44</c:v>
                </c:pt>
                <c:pt idx="412">
                  <c:v>26</c:v>
                </c:pt>
                <c:pt idx="413">
                  <c:v>25</c:v>
                </c:pt>
                <c:pt idx="414">
                  <c:v>19</c:v>
                </c:pt>
                <c:pt idx="415">
                  <c:v>43</c:v>
                </c:pt>
                <c:pt idx="416">
                  <c:v>52</c:v>
                </c:pt>
                <c:pt idx="417">
                  <c:v>36</c:v>
                </c:pt>
                <c:pt idx="418">
                  <c:v>64</c:v>
                </c:pt>
                <c:pt idx="419">
                  <c:v>63</c:v>
                </c:pt>
                <c:pt idx="420">
                  <c:v>64</c:v>
                </c:pt>
                <c:pt idx="421">
                  <c:v>61</c:v>
                </c:pt>
                <c:pt idx="422">
                  <c:v>40</c:v>
                </c:pt>
                <c:pt idx="423">
                  <c:v>25</c:v>
                </c:pt>
                <c:pt idx="424">
                  <c:v>48</c:v>
                </c:pt>
                <c:pt idx="425">
                  <c:v>45</c:v>
                </c:pt>
                <c:pt idx="426">
                  <c:v>38</c:v>
                </c:pt>
                <c:pt idx="427">
                  <c:v>18</c:v>
                </c:pt>
                <c:pt idx="428">
                  <c:v>21</c:v>
                </c:pt>
                <c:pt idx="429">
                  <c:v>27</c:v>
                </c:pt>
                <c:pt idx="430">
                  <c:v>19</c:v>
                </c:pt>
                <c:pt idx="431">
                  <c:v>29</c:v>
                </c:pt>
                <c:pt idx="432">
                  <c:v>42</c:v>
                </c:pt>
                <c:pt idx="433">
                  <c:v>60</c:v>
                </c:pt>
                <c:pt idx="434">
                  <c:v>31</c:v>
                </c:pt>
                <c:pt idx="435">
                  <c:v>60</c:v>
                </c:pt>
                <c:pt idx="436">
                  <c:v>22</c:v>
                </c:pt>
                <c:pt idx="437">
                  <c:v>35</c:v>
                </c:pt>
                <c:pt idx="438">
                  <c:v>52</c:v>
                </c:pt>
                <c:pt idx="439">
                  <c:v>26</c:v>
                </c:pt>
                <c:pt idx="440">
                  <c:v>31</c:v>
                </c:pt>
                <c:pt idx="441">
                  <c:v>33</c:v>
                </c:pt>
                <c:pt idx="442">
                  <c:v>18</c:v>
                </c:pt>
                <c:pt idx="443">
                  <c:v>59</c:v>
                </c:pt>
                <c:pt idx="444">
                  <c:v>56</c:v>
                </c:pt>
                <c:pt idx="445">
                  <c:v>45</c:v>
                </c:pt>
                <c:pt idx="446">
                  <c:v>60</c:v>
                </c:pt>
                <c:pt idx="447">
                  <c:v>56</c:v>
                </c:pt>
                <c:pt idx="448">
                  <c:v>40</c:v>
                </c:pt>
                <c:pt idx="449">
                  <c:v>35</c:v>
                </c:pt>
                <c:pt idx="450">
                  <c:v>39</c:v>
                </c:pt>
                <c:pt idx="451">
                  <c:v>30</c:v>
                </c:pt>
                <c:pt idx="452">
                  <c:v>24</c:v>
                </c:pt>
                <c:pt idx="453">
                  <c:v>20</c:v>
                </c:pt>
                <c:pt idx="454">
                  <c:v>32</c:v>
                </c:pt>
                <c:pt idx="455">
                  <c:v>59</c:v>
                </c:pt>
                <c:pt idx="456">
                  <c:v>55</c:v>
                </c:pt>
                <c:pt idx="457">
                  <c:v>57</c:v>
                </c:pt>
                <c:pt idx="458">
                  <c:v>56</c:v>
                </c:pt>
                <c:pt idx="459">
                  <c:v>40</c:v>
                </c:pt>
                <c:pt idx="460">
                  <c:v>49</c:v>
                </c:pt>
                <c:pt idx="461">
                  <c:v>42</c:v>
                </c:pt>
                <c:pt idx="462">
                  <c:v>62</c:v>
                </c:pt>
                <c:pt idx="463">
                  <c:v>56</c:v>
                </c:pt>
                <c:pt idx="464">
                  <c:v>19</c:v>
                </c:pt>
                <c:pt idx="465">
                  <c:v>30</c:v>
                </c:pt>
                <c:pt idx="466">
                  <c:v>60</c:v>
                </c:pt>
                <c:pt idx="467">
                  <c:v>56</c:v>
                </c:pt>
                <c:pt idx="468">
                  <c:v>28</c:v>
                </c:pt>
                <c:pt idx="469">
                  <c:v>18</c:v>
                </c:pt>
                <c:pt idx="470">
                  <c:v>27</c:v>
                </c:pt>
                <c:pt idx="471">
                  <c:v>18</c:v>
                </c:pt>
                <c:pt idx="472">
                  <c:v>19</c:v>
                </c:pt>
                <c:pt idx="473">
                  <c:v>47</c:v>
                </c:pt>
                <c:pt idx="474">
                  <c:v>54</c:v>
                </c:pt>
                <c:pt idx="475">
                  <c:v>61</c:v>
                </c:pt>
                <c:pt idx="476">
                  <c:v>24</c:v>
                </c:pt>
                <c:pt idx="477">
                  <c:v>25</c:v>
                </c:pt>
                <c:pt idx="478">
                  <c:v>21</c:v>
                </c:pt>
                <c:pt idx="479">
                  <c:v>23</c:v>
                </c:pt>
                <c:pt idx="480">
                  <c:v>63</c:v>
                </c:pt>
                <c:pt idx="481">
                  <c:v>49</c:v>
                </c:pt>
                <c:pt idx="482">
                  <c:v>18</c:v>
                </c:pt>
                <c:pt idx="483">
                  <c:v>51</c:v>
                </c:pt>
                <c:pt idx="484">
                  <c:v>48</c:v>
                </c:pt>
                <c:pt idx="485">
                  <c:v>31</c:v>
                </c:pt>
                <c:pt idx="486">
                  <c:v>54</c:v>
                </c:pt>
                <c:pt idx="487">
                  <c:v>19</c:v>
                </c:pt>
                <c:pt idx="488">
                  <c:v>44</c:v>
                </c:pt>
                <c:pt idx="489">
                  <c:v>53</c:v>
                </c:pt>
                <c:pt idx="490">
                  <c:v>19</c:v>
                </c:pt>
                <c:pt idx="491">
                  <c:v>61</c:v>
                </c:pt>
                <c:pt idx="492">
                  <c:v>18</c:v>
                </c:pt>
                <c:pt idx="493">
                  <c:v>61</c:v>
                </c:pt>
                <c:pt idx="494">
                  <c:v>21</c:v>
                </c:pt>
                <c:pt idx="495">
                  <c:v>20</c:v>
                </c:pt>
                <c:pt idx="496">
                  <c:v>31</c:v>
                </c:pt>
                <c:pt idx="497">
                  <c:v>45</c:v>
                </c:pt>
                <c:pt idx="498">
                  <c:v>44</c:v>
                </c:pt>
                <c:pt idx="499">
                  <c:v>62</c:v>
                </c:pt>
                <c:pt idx="500">
                  <c:v>29</c:v>
                </c:pt>
                <c:pt idx="501">
                  <c:v>43</c:v>
                </c:pt>
                <c:pt idx="502">
                  <c:v>51</c:v>
                </c:pt>
                <c:pt idx="503">
                  <c:v>19</c:v>
                </c:pt>
                <c:pt idx="504">
                  <c:v>38</c:v>
                </c:pt>
                <c:pt idx="505">
                  <c:v>37</c:v>
                </c:pt>
                <c:pt idx="506">
                  <c:v>22</c:v>
                </c:pt>
                <c:pt idx="507">
                  <c:v>21</c:v>
                </c:pt>
                <c:pt idx="508">
                  <c:v>24</c:v>
                </c:pt>
                <c:pt idx="509">
                  <c:v>57</c:v>
                </c:pt>
                <c:pt idx="510">
                  <c:v>56</c:v>
                </c:pt>
                <c:pt idx="511">
                  <c:v>27</c:v>
                </c:pt>
                <c:pt idx="512">
                  <c:v>51</c:v>
                </c:pt>
                <c:pt idx="513">
                  <c:v>19</c:v>
                </c:pt>
                <c:pt idx="514">
                  <c:v>39</c:v>
                </c:pt>
                <c:pt idx="515">
                  <c:v>58</c:v>
                </c:pt>
                <c:pt idx="516">
                  <c:v>20</c:v>
                </c:pt>
                <c:pt idx="517">
                  <c:v>45</c:v>
                </c:pt>
                <c:pt idx="518">
                  <c:v>35</c:v>
                </c:pt>
                <c:pt idx="519">
                  <c:v>31</c:v>
                </c:pt>
                <c:pt idx="520">
                  <c:v>50</c:v>
                </c:pt>
                <c:pt idx="521">
                  <c:v>32</c:v>
                </c:pt>
                <c:pt idx="522">
                  <c:v>51</c:v>
                </c:pt>
                <c:pt idx="523">
                  <c:v>38</c:v>
                </c:pt>
                <c:pt idx="524">
                  <c:v>42</c:v>
                </c:pt>
                <c:pt idx="525">
                  <c:v>18</c:v>
                </c:pt>
                <c:pt idx="526">
                  <c:v>19</c:v>
                </c:pt>
                <c:pt idx="527">
                  <c:v>51</c:v>
                </c:pt>
                <c:pt idx="528">
                  <c:v>46</c:v>
                </c:pt>
                <c:pt idx="529">
                  <c:v>18</c:v>
                </c:pt>
                <c:pt idx="530">
                  <c:v>57</c:v>
                </c:pt>
                <c:pt idx="531">
                  <c:v>62</c:v>
                </c:pt>
                <c:pt idx="532">
                  <c:v>59</c:v>
                </c:pt>
                <c:pt idx="533">
                  <c:v>37</c:v>
                </c:pt>
                <c:pt idx="534">
                  <c:v>64</c:v>
                </c:pt>
                <c:pt idx="535">
                  <c:v>38</c:v>
                </c:pt>
                <c:pt idx="536">
                  <c:v>33</c:v>
                </c:pt>
                <c:pt idx="537">
                  <c:v>46</c:v>
                </c:pt>
                <c:pt idx="538">
                  <c:v>46</c:v>
                </c:pt>
                <c:pt idx="539">
                  <c:v>53</c:v>
                </c:pt>
                <c:pt idx="540">
                  <c:v>34</c:v>
                </c:pt>
                <c:pt idx="541">
                  <c:v>20</c:v>
                </c:pt>
                <c:pt idx="542">
                  <c:v>63</c:v>
                </c:pt>
                <c:pt idx="543">
                  <c:v>54</c:v>
                </c:pt>
                <c:pt idx="544">
                  <c:v>54</c:v>
                </c:pt>
                <c:pt idx="545">
                  <c:v>49</c:v>
                </c:pt>
                <c:pt idx="546">
                  <c:v>28</c:v>
                </c:pt>
                <c:pt idx="547">
                  <c:v>54</c:v>
                </c:pt>
                <c:pt idx="548">
                  <c:v>25</c:v>
                </c:pt>
                <c:pt idx="549">
                  <c:v>43</c:v>
                </c:pt>
                <c:pt idx="550">
                  <c:v>63</c:v>
                </c:pt>
                <c:pt idx="551">
                  <c:v>32</c:v>
                </c:pt>
                <c:pt idx="552">
                  <c:v>62</c:v>
                </c:pt>
                <c:pt idx="553">
                  <c:v>52</c:v>
                </c:pt>
                <c:pt idx="554">
                  <c:v>25</c:v>
                </c:pt>
                <c:pt idx="555">
                  <c:v>28</c:v>
                </c:pt>
                <c:pt idx="556">
                  <c:v>46</c:v>
                </c:pt>
                <c:pt idx="557">
                  <c:v>34</c:v>
                </c:pt>
                <c:pt idx="558">
                  <c:v>35</c:v>
                </c:pt>
                <c:pt idx="559">
                  <c:v>19</c:v>
                </c:pt>
                <c:pt idx="560">
                  <c:v>46</c:v>
                </c:pt>
                <c:pt idx="561">
                  <c:v>54</c:v>
                </c:pt>
                <c:pt idx="562">
                  <c:v>27</c:v>
                </c:pt>
                <c:pt idx="563">
                  <c:v>50</c:v>
                </c:pt>
                <c:pt idx="564">
                  <c:v>18</c:v>
                </c:pt>
                <c:pt idx="565">
                  <c:v>19</c:v>
                </c:pt>
                <c:pt idx="566">
                  <c:v>38</c:v>
                </c:pt>
                <c:pt idx="567">
                  <c:v>41</c:v>
                </c:pt>
                <c:pt idx="568">
                  <c:v>49</c:v>
                </c:pt>
                <c:pt idx="569">
                  <c:v>48</c:v>
                </c:pt>
                <c:pt idx="570">
                  <c:v>31</c:v>
                </c:pt>
                <c:pt idx="571">
                  <c:v>18</c:v>
                </c:pt>
                <c:pt idx="572">
                  <c:v>30</c:v>
                </c:pt>
                <c:pt idx="573">
                  <c:v>62</c:v>
                </c:pt>
                <c:pt idx="574">
                  <c:v>57</c:v>
                </c:pt>
                <c:pt idx="575">
                  <c:v>58</c:v>
                </c:pt>
                <c:pt idx="576">
                  <c:v>22</c:v>
                </c:pt>
                <c:pt idx="577">
                  <c:v>31</c:v>
                </c:pt>
                <c:pt idx="578">
                  <c:v>52</c:v>
                </c:pt>
                <c:pt idx="579">
                  <c:v>25</c:v>
                </c:pt>
                <c:pt idx="580">
                  <c:v>59</c:v>
                </c:pt>
                <c:pt idx="581">
                  <c:v>19</c:v>
                </c:pt>
                <c:pt idx="582">
                  <c:v>39</c:v>
                </c:pt>
                <c:pt idx="583">
                  <c:v>32</c:v>
                </c:pt>
                <c:pt idx="584">
                  <c:v>19</c:v>
                </c:pt>
                <c:pt idx="585">
                  <c:v>33</c:v>
                </c:pt>
                <c:pt idx="586">
                  <c:v>21</c:v>
                </c:pt>
                <c:pt idx="587">
                  <c:v>34</c:v>
                </c:pt>
                <c:pt idx="588">
                  <c:v>61</c:v>
                </c:pt>
                <c:pt idx="589">
                  <c:v>38</c:v>
                </c:pt>
                <c:pt idx="590">
                  <c:v>58</c:v>
                </c:pt>
                <c:pt idx="591">
                  <c:v>47</c:v>
                </c:pt>
                <c:pt idx="592">
                  <c:v>20</c:v>
                </c:pt>
                <c:pt idx="593">
                  <c:v>21</c:v>
                </c:pt>
                <c:pt idx="594">
                  <c:v>41</c:v>
                </c:pt>
                <c:pt idx="595">
                  <c:v>46</c:v>
                </c:pt>
                <c:pt idx="596">
                  <c:v>42</c:v>
                </c:pt>
                <c:pt idx="597">
                  <c:v>34</c:v>
                </c:pt>
                <c:pt idx="598">
                  <c:v>43</c:v>
                </c:pt>
                <c:pt idx="599">
                  <c:v>52</c:v>
                </c:pt>
                <c:pt idx="600">
                  <c:v>18</c:v>
                </c:pt>
                <c:pt idx="601">
                  <c:v>51</c:v>
                </c:pt>
                <c:pt idx="602">
                  <c:v>56</c:v>
                </c:pt>
                <c:pt idx="603">
                  <c:v>64</c:v>
                </c:pt>
                <c:pt idx="604">
                  <c:v>19</c:v>
                </c:pt>
                <c:pt idx="605">
                  <c:v>51</c:v>
                </c:pt>
                <c:pt idx="606">
                  <c:v>27</c:v>
                </c:pt>
                <c:pt idx="607">
                  <c:v>59</c:v>
                </c:pt>
                <c:pt idx="608">
                  <c:v>28</c:v>
                </c:pt>
                <c:pt idx="609">
                  <c:v>30</c:v>
                </c:pt>
                <c:pt idx="610">
                  <c:v>47</c:v>
                </c:pt>
                <c:pt idx="611">
                  <c:v>38</c:v>
                </c:pt>
                <c:pt idx="612">
                  <c:v>18</c:v>
                </c:pt>
                <c:pt idx="613">
                  <c:v>34</c:v>
                </c:pt>
                <c:pt idx="614">
                  <c:v>20</c:v>
                </c:pt>
                <c:pt idx="615">
                  <c:v>47</c:v>
                </c:pt>
                <c:pt idx="616">
                  <c:v>56</c:v>
                </c:pt>
                <c:pt idx="617">
                  <c:v>49</c:v>
                </c:pt>
                <c:pt idx="618">
                  <c:v>19</c:v>
                </c:pt>
                <c:pt idx="619">
                  <c:v>55</c:v>
                </c:pt>
                <c:pt idx="620">
                  <c:v>30</c:v>
                </c:pt>
                <c:pt idx="621">
                  <c:v>37</c:v>
                </c:pt>
                <c:pt idx="622">
                  <c:v>49</c:v>
                </c:pt>
                <c:pt idx="623">
                  <c:v>18</c:v>
                </c:pt>
                <c:pt idx="624">
                  <c:v>59</c:v>
                </c:pt>
                <c:pt idx="625">
                  <c:v>29</c:v>
                </c:pt>
                <c:pt idx="626">
                  <c:v>36</c:v>
                </c:pt>
                <c:pt idx="627">
                  <c:v>33</c:v>
                </c:pt>
                <c:pt idx="628">
                  <c:v>58</c:v>
                </c:pt>
                <c:pt idx="629">
                  <c:v>44</c:v>
                </c:pt>
                <c:pt idx="630">
                  <c:v>53</c:v>
                </c:pt>
                <c:pt idx="631">
                  <c:v>24</c:v>
                </c:pt>
                <c:pt idx="632">
                  <c:v>29</c:v>
                </c:pt>
                <c:pt idx="633">
                  <c:v>40</c:v>
                </c:pt>
                <c:pt idx="634">
                  <c:v>51</c:v>
                </c:pt>
                <c:pt idx="635">
                  <c:v>64</c:v>
                </c:pt>
                <c:pt idx="636">
                  <c:v>19</c:v>
                </c:pt>
                <c:pt idx="637">
                  <c:v>35</c:v>
                </c:pt>
                <c:pt idx="638">
                  <c:v>39</c:v>
                </c:pt>
                <c:pt idx="639">
                  <c:v>56</c:v>
                </c:pt>
                <c:pt idx="640">
                  <c:v>33</c:v>
                </c:pt>
                <c:pt idx="641">
                  <c:v>42</c:v>
                </c:pt>
                <c:pt idx="642">
                  <c:v>61</c:v>
                </c:pt>
                <c:pt idx="643">
                  <c:v>23</c:v>
                </c:pt>
                <c:pt idx="644">
                  <c:v>43</c:v>
                </c:pt>
                <c:pt idx="645">
                  <c:v>48</c:v>
                </c:pt>
                <c:pt idx="646">
                  <c:v>39</c:v>
                </c:pt>
                <c:pt idx="647">
                  <c:v>40</c:v>
                </c:pt>
                <c:pt idx="648">
                  <c:v>18</c:v>
                </c:pt>
                <c:pt idx="649">
                  <c:v>58</c:v>
                </c:pt>
                <c:pt idx="650">
                  <c:v>49</c:v>
                </c:pt>
                <c:pt idx="651">
                  <c:v>53</c:v>
                </c:pt>
                <c:pt idx="652">
                  <c:v>48</c:v>
                </c:pt>
                <c:pt idx="653">
                  <c:v>45</c:v>
                </c:pt>
                <c:pt idx="654">
                  <c:v>59</c:v>
                </c:pt>
                <c:pt idx="655">
                  <c:v>52</c:v>
                </c:pt>
                <c:pt idx="656">
                  <c:v>26</c:v>
                </c:pt>
                <c:pt idx="657">
                  <c:v>27</c:v>
                </c:pt>
                <c:pt idx="658">
                  <c:v>48</c:v>
                </c:pt>
                <c:pt idx="659">
                  <c:v>57</c:v>
                </c:pt>
                <c:pt idx="660">
                  <c:v>37</c:v>
                </c:pt>
                <c:pt idx="661">
                  <c:v>57</c:v>
                </c:pt>
                <c:pt idx="662">
                  <c:v>32</c:v>
                </c:pt>
                <c:pt idx="663">
                  <c:v>18</c:v>
                </c:pt>
                <c:pt idx="664">
                  <c:v>64</c:v>
                </c:pt>
                <c:pt idx="665">
                  <c:v>43</c:v>
                </c:pt>
                <c:pt idx="666">
                  <c:v>49</c:v>
                </c:pt>
                <c:pt idx="667">
                  <c:v>40</c:v>
                </c:pt>
                <c:pt idx="668">
                  <c:v>62</c:v>
                </c:pt>
                <c:pt idx="669">
                  <c:v>40</c:v>
                </c:pt>
                <c:pt idx="670">
                  <c:v>30</c:v>
                </c:pt>
                <c:pt idx="671">
                  <c:v>29</c:v>
                </c:pt>
                <c:pt idx="672">
                  <c:v>36</c:v>
                </c:pt>
                <c:pt idx="673">
                  <c:v>41</c:v>
                </c:pt>
                <c:pt idx="674">
                  <c:v>44</c:v>
                </c:pt>
                <c:pt idx="675">
                  <c:v>45</c:v>
                </c:pt>
                <c:pt idx="676">
                  <c:v>55</c:v>
                </c:pt>
                <c:pt idx="677">
                  <c:v>60</c:v>
                </c:pt>
                <c:pt idx="678">
                  <c:v>56</c:v>
                </c:pt>
                <c:pt idx="679">
                  <c:v>49</c:v>
                </c:pt>
                <c:pt idx="680">
                  <c:v>21</c:v>
                </c:pt>
                <c:pt idx="681">
                  <c:v>19</c:v>
                </c:pt>
                <c:pt idx="682">
                  <c:v>39</c:v>
                </c:pt>
                <c:pt idx="683">
                  <c:v>53</c:v>
                </c:pt>
                <c:pt idx="684">
                  <c:v>33</c:v>
                </c:pt>
                <c:pt idx="685">
                  <c:v>53</c:v>
                </c:pt>
                <c:pt idx="686">
                  <c:v>42</c:v>
                </c:pt>
                <c:pt idx="687">
                  <c:v>40</c:v>
                </c:pt>
                <c:pt idx="688">
                  <c:v>47</c:v>
                </c:pt>
                <c:pt idx="689">
                  <c:v>27</c:v>
                </c:pt>
                <c:pt idx="690">
                  <c:v>21</c:v>
                </c:pt>
                <c:pt idx="691">
                  <c:v>47</c:v>
                </c:pt>
                <c:pt idx="692">
                  <c:v>20</c:v>
                </c:pt>
                <c:pt idx="693">
                  <c:v>24</c:v>
                </c:pt>
                <c:pt idx="694">
                  <c:v>27</c:v>
                </c:pt>
                <c:pt idx="695">
                  <c:v>26</c:v>
                </c:pt>
                <c:pt idx="696">
                  <c:v>53</c:v>
                </c:pt>
                <c:pt idx="697">
                  <c:v>41</c:v>
                </c:pt>
                <c:pt idx="698">
                  <c:v>56</c:v>
                </c:pt>
                <c:pt idx="699">
                  <c:v>23</c:v>
                </c:pt>
                <c:pt idx="700">
                  <c:v>21</c:v>
                </c:pt>
                <c:pt idx="701">
                  <c:v>50</c:v>
                </c:pt>
                <c:pt idx="702">
                  <c:v>53</c:v>
                </c:pt>
                <c:pt idx="703">
                  <c:v>34</c:v>
                </c:pt>
                <c:pt idx="704">
                  <c:v>47</c:v>
                </c:pt>
                <c:pt idx="705">
                  <c:v>33</c:v>
                </c:pt>
                <c:pt idx="706">
                  <c:v>51</c:v>
                </c:pt>
                <c:pt idx="707">
                  <c:v>49</c:v>
                </c:pt>
                <c:pt idx="708">
                  <c:v>31</c:v>
                </c:pt>
                <c:pt idx="709">
                  <c:v>36</c:v>
                </c:pt>
                <c:pt idx="710">
                  <c:v>18</c:v>
                </c:pt>
                <c:pt idx="711">
                  <c:v>50</c:v>
                </c:pt>
                <c:pt idx="712">
                  <c:v>43</c:v>
                </c:pt>
                <c:pt idx="713">
                  <c:v>20</c:v>
                </c:pt>
                <c:pt idx="714">
                  <c:v>24</c:v>
                </c:pt>
                <c:pt idx="715">
                  <c:v>60</c:v>
                </c:pt>
                <c:pt idx="716">
                  <c:v>49</c:v>
                </c:pt>
                <c:pt idx="717">
                  <c:v>60</c:v>
                </c:pt>
                <c:pt idx="718">
                  <c:v>51</c:v>
                </c:pt>
                <c:pt idx="719">
                  <c:v>58</c:v>
                </c:pt>
                <c:pt idx="720">
                  <c:v>51</c:v>
                </c:pt>
                <c:pt idx="721">
                  <c:v>53</c:v>
                </c:pt>
                <c:pt idx="722">
                  <c:v>62</c:v>
                </c:pt>
                <c:pt idx="723">
                  <c:v>19</c:v>
                </c:pt>
                <c:pt idx="724">
                  <c:v>50</c:v>
                </c:pt>
                <c:pt idx="725">
                  <c:v>30</c:v>
                </c:pt>
                <c:pt idx="726">
                  <c:v>41</c:v>
                </c:pt>
                <c:pt idx="727">
                  <c:v>29</c:v>
                </c:pt>
                <c:pt idx="728">
                  <c:v>18</c:v>
                </c:pt>
                <c:pt idx="729">
                  <c:v>41</c:v>
                </c:pt>
                <c:pt idx="730">
                  <c:v>35</c:v>
                </c:pt>
                <c:pt idx="731">
                  <c:v>53</c:v>
                </c:pt>
                <c:pt idx="732">
                  <c:v>24</c:v>
                </c:pt>
                <c:pt idx="733">
                  <c:v>48</c:v>
                </c:pt>
                <c:pt idx="734">
                  <c:v>59</c:v>
                </c:pt>
                <c:pt idx="735">
                  <c:v>49</c:v>
                </c:pt>
                <c:pt idx="736">
                  <c:v>37</c:v>
                </c:pt>
                <c:pt idx="737">
                  <c:v>26</c:v>
                </c:pt>
                <c:pt idx="738">
                  <c:v>23</c:v>
                </c:pt>
                <c:pt idx="739">
                  <c:v>29</c:v>
                </c:pt>
                <c:pt idx="740">
                  <c:v>45</c:v>
                </c:pt>
                <c:pt idx="741">
                  <c:v>27</c:v>
                </c:pt>
                <c:pt idx="742">
                  <c:v>53</c:v>
                </c:pt>
                <c:pt idx="743">
                  <c:v>31</c:v>
                </c:pt>
                <c:pt idx="744">
                  <c:v>50</c:v>
                </c:pt>
                <c:pt idx="745">
                  <c:v>50</c:v>
                </c:pt>
                <c:pt idx="746">
                  <c:v>34</c:v>
                </c:pt>
                <c:pt idx="747">
                  <c:v>19</c:v>
                </c:pt>
                <c:pt idx="748">
                  <c:v>47</c:v>
                </c:pt>
                <c:pt idx="749">
                  <c:v>28</c:v>
                </c:pt>
                <c:pt idx="750">
                  <c:v>37</c:v>
                </c:pt>
                <c:pt idx="751">
                  <c:v>21</c:v>
                </c:pt>
                <c:pt idx="752">
                  <c:v>64</c:v>
                </c:pt>
                <c:pt idx="753">
                  <c:v>58</c:v>
                </c:pt>
                <c:pt idx="754">
                  <c:v>24</c:v>
                </c:pt>
                <c:pt idx="755">
                  <c:v>31</c:v>
                </c:pt>
                <c:pt idx="756">
                  <c:v>39</c:v>
                </c:pt>
                <c:pt idx="757">
                  <c:v>47</c:v>
                </c:pt>
                <c:pt idx="758">
                  <c:v>30</c:v>
                </c:pt>
                <c:pt idx="759">
                  <c:v>18</c:v>
                </c:pt>
                <c:pt idx="760">
                  <c:v>22</c:v>
                </c:pt>
                <c:pt idx="761">
                  <c:v>23</c:v>
                </c:pt>
                <c:pt idx="762">
                  <c:v>33</c:v>
                </c:pt>
                <c:pt idx="763">
                  <c:v>27</c:v>
                </c:pt>
                <c:pt idx="764">
                  <c:v>45</c:v>
                </c:pt>
                <c:pt idx="765">
                  <c:v>57</c:v>
                </c:pt>
                <c:pt idx="766">
                  <c:v>47</c:v>
                </c:pt>
                <c:pt idx="767">
                  <c:v>42</c:v>
                </c:pt>
                <c:pt idx="768">
                  <c:v>64</c:v>
                </c:pt>
                <c:pt idx="769">
                  <c:v>38</c:v>
                </c:pt>
                <c:pt idx="770">
                  <c:v>61</c:v>
                </c:pt>
                <c:pt idx="771">
                  <c:v>53</c:v>
                </c:pt>
                <c:pt idx="772">
                  <c:v>44</c:v>
                </c:pt>
                <c:pt idx="773">
                  <c:v>19</c:v>
                </c:pt>
                <c:pt idx="774">
                  <c:v>41</c:v>
                </c:pt>
                <c:pt idx="775">
                  <c:v>51</c:v>
                </c:pt>
                <c:pt idx="776">
                  <c:v>40</c:v>
                </c:pt>
                <c:pt idx="777">
                  <c:v>45</c:v>
                </c:pt>
                <c:pt idx="778">
                  <c:v>35</c:v>
                </c:pt>
                <c:pt idx="779">
                  <c:v>53</c:v>
                </c:pt>
                <c:pt idx="780">
                  <c:v>30</c:v>
                </c:pt>
                <c:pt idx="781">
                  <c:v>18</c:v>
                </c:pt>
                <c:pt idx="782">
                  <c:v>51</c:v>
                </c:pt>
                <c:pt idx="783">
                  <c:v>50</c:v>
                </c:pt>
                <c:pt idx="784">
                  <c:v>31</c:v>
                </c:pt>
                <c:pt idx="785">
                  <c:v>35</c:v>
                </c:pt>
                <c:pt idx="786">
                  <c:v>60</c:v>
                </c:pt>
                <c:pt idx="787">
                  <c:v>21</c:v>
                </c:pt>
                <c:pt idx="788">
                  <c:v>29</c:v>
                </c:pt>
                <c:pt idx="789">
                  <c:v>62</c:v>
                </c:pt>
                <c:pt idx="790">
                  <c:v>39</c:v>
                </c:pt>
                <c:pt idx="791">
                  <c:v>19</c:v>
                </c:pt>
                <c:pt idx="792">
                  <c:v>22</c:v>
                </c:pt>
                <c:pt idx="793">
                  <c:v>53</c:v>
                </c:pt>
                <c:pt idx="794">
                  <c:v>39</c:v>
                </c:pt>
                <c:pt idx="795">
                  <c:v>27</c:v>
                </c:pt>
                <c:pt idx="796">
                  <c:v>30</c:v>
                </c:pt>
                <c:pt idx="797">
                  <c:v>30</c:v>
                </c:pt>
                <c:pt idx="798">
                  <c:v>58</c:v>
                </c:pt>
                <c:pt idx="799">
                  <c:v>33</c:v>
                </c:pt>
                <c:pt idx="800">
                  <c:v>42</c:v>
                </c:pt>
                <c:pt idx="801">
                  <c:v>64</c:v>
                </c:pt>
                <c:pt idx="802">
                  <c:v>21</c:v>
                </c:pt>
                <c:pt idx="803">
                  <c:v>18</c:v>
                </c:pt>
                <c:pt idx="804">
                  <c:v>23</c:v>
                </c:pt>
                <c:pt idx="805">
                  <c:v>45</c:v>
                </c:pt>
                <c:pt idx="806">
                  <c:v>40</c:v>
                </c:pt>
                <c:pt idx="807">
                  <c:v>19</c:v>
                </c:pt>
                <c:pt idx="808">
                  <c:v>18</c:v>
                </c:pt>
                <c:pt idx="809">
                  <c:v>25</c:v>
                </c:pt>
                <c:pt idx="810">
                  <c:v>46</c:v>
                </c:pt>
                <c:pt idx="811">
                  <c:v>33</c:v>
                </c:pt>
                <c:pt idx="812">
                  <c:v>54</c:v>
                </c:pt>
                <c:pt idx="813">
                  <c:v>28</c:v>
                </c:pt>
                <c:pt idx="814">
                  <c:v>36</c:v>
                </c:pt>
                <c:pt idx="815">
                  <c:v>20</c:v>
                </c:pt>
                <c:pt idx="816">
                  <c:v>24</c:v>
                </c:pt>
                <c:pt idx="817">
                  <c:v>23</c:v>
                </c:pt>
                <c:pt idx="818">
                  <c:v>47</c:v>
                </c:pt>
                <c:pt idx="819">
                  <c:v>33</c:v>
                </c:pt>
                <c:pt idx="820">
                  <c:v>45</c:v>
                </c:pt>
                <c:pt idx="821">
                  <c:v>26</c:v>
                </c:pt>
                <c:pt idx="822">
                  <c:v>18</c:v>
                </c:pt>
                <c:pt idx="823">
                  <c:v>44</c:v>
                </c:pt>
                <c:pt idx="824">
                  <c:v>60</c:v>
                </c:pt>
                <c:pt idx="825">
                  <c:v>64</c:v>
                </c:pt>
                <c:pt idx="826">
                  <c:v>56</c:v>
                </c:pt>
                <c:pt idx="827">
                  <c:v>36</c:v>
                </c:pt>
                <c:pt idx="828">
                  <c:v>41</c:v>
                </c:pt>
                <c:pt idx="829">
                  <c:v>39</c:v>
                </c:pt>
                <c:pt idx="830">
                  <c:v>63</c:v>
                </c:pt>
                <c:pt idx="831">
                  <c:v>36</c:v>
                </c:pt>
                <c:pt idx="832">
                  <c:v>28</c:v>
                </c:pt>
                <c:pt idx="833">
                  <c:v>58</c:v>
                </c:pt>
                <c:pt idx="834">
                  <c:v>36</c:v>
                </c:pt>
                <c:pt idx="835">
                  <c:v>42</c:v>
                </c:pt>
                <c:pt idx="836">
                  <c:v>36</c:v>
                </c:pt>
                <c:pt idx="837">
                  <c:v>56</c:v>
                </c:pt>
                <c:pt idx="838">
                  <c:v>35</c:v>
                </c:pt>
                <c:pt idx="839">
                  <c:v>59</c:v>
                </c:pt>
                <c:pt idx="840">
                  <c:v>21</c:v>
                </c:pt>
                <c:pt idx="841">
                  <c:v>59</c:v>
                </c:pt>
                <c:pt idx="842">
                  <c:v>23</c:v>
                </c:pt>
                <c:pt idx="843">
                  <c:v>57</c:v>
                </c:pt>
                <c:pt idx="844">
                  <c:v>53</c:v>
                </c:pt>
                <c:pt idx="845">
                  <c:v>60</c:v>
                </c:pt>
                <c:pt idx="846">
                  <c:v>51</c:v>
                </c:pt>
                <c:pt idx="847">
                  <c:v>23</c:v>
                </c:pt>
                <c:pt idx="848">
                  <c:v>27</c:v>
                </c:pt>
                <c:pt idx="849">
                  <c:v>55</c:v>
                </c:pt>
                <c:pt idx="850">
                  <c:v>37</c:v>
                </c:pt>
                <c:pt idx="851">
                  <c:v>61</c:v>
                </c:pt>
                <c:pt idx="852">
                  <c:v>46</c:v>
                </c:pt>
                <c:pt idx="853">
                  <c:v>53</c:v>
                </c:pt>
                <c:pt idx="854">
                  <c:v>49</c:v>
                </c:pt>
                <c:pt idx="855">
                  <c:v>20</c:v>
                </c:pt>
                <c:pt idx="856">
                  <c:v>48</c:v>
                </c:pt>
                <c:pt idx="857">
                  <c:v>25</c:v>
                </c:pt>
                <c:pt idx="858">
                  <c:v>25</c:v>
                </c:pt>
                <c:pt idx="859">
                  <c:v>57</c:v>
                </c:pt>
                <c:pt idx="860">
                  <c:v>37</c:v>
                </c:pt>
                <c:pt idx="861">
                  <c:v>38</c:v>
                </c:pt>
                <c:pt idx="862">
                  <c:v>55</c:v>
                </c:pt>
                <c:pt idx="863">
                  <c:v>36</c:v>
                </c:pt>
                <c:pt idx="864">
                  <c:v>51</c:v>
                </c:pt>
                <c:pt idx="865">
                  <c:v>40</c:v>
                </c:pt>
                <c:pt idx="866">
                  <c:v>18</c:v>
                </c:pt>
                <c:pt idx="867">
                  <c:v>57</c:v>
                </c:pt>
                <c:pt idx="868">
                  <c:v>61</c:v>
                </c:pt>
                <c:pt idx="869">
                  <c:v>25</c:v>
                </c:pt>
                <c:pt idx="870">
                  <c:v>50</c:v>
                </c:pt>
                <c:pt idx="871">
                  <c:v>26</c:v>
                </c:pt>
                <c:pt idx="872">
                  <c:v>42</c:v>
                </c:pt>
                <c:pt idx="873">
                  <c:v>43</c:v>
                </c:pt>
                <c:pt idx="874">
                  <c:v>44</c:v>
                </c:pt>
                <c:pt idx="875">
                  <c:v>23</c:v>
                </c:pt>
                <c:pt idx="876">
                  <c:v>49</c:v>
                </c:pt>
                <c:pt idx="877">
                  <c:v>33</c:v>
                </c:pt>
                <c:pt idx="878">
                  <c:v>41</c:v>
                </c:pt>
                <c:pt idx="879">
                  <c:v>37</c:v>
                </c:pt>
                <c:pt idx="880">
                  <c:v>22</c:v>
                </c:pt>
                <c:pt idx="881">
                  <c:v>23</c:v>
                </c:pt>
                <c:pt idx="882">
                  <c:v>21</c:v>
                </c:pt>
                <c:pt idx="883">
                  <c:v>51</c:v>
                </c:pt>
                <c:pt idx="884">
                  <c:v>25</c:v>
                </c:pt>
                <c:pt idx="885">
                  <c:v>32</c:v>
                </c:pt>
                <c:pt idx="886">
                  <c:v>57</c:v>
                </c:pt>
                <c:pt idx="887">
                  <c:v>36</c:v>
                </c:pt>
                <c:pt idx="888">
                  <c:v>22</c:v>
                </c:pt>
                <c:pt idx="889">
                  <c:v>57</c:v>
                </c:pt>
                <c:pt idx="890">
                  <c:v>64</c:v>
                </c:pt>
                <c:pt idx="891">
                  <c:v>36</c:v>
                </c:pt>
                <c:pt idx="892">
                  <c:v>54</c:v>
                </c:pt>
                <c:pt idx="893">
                  <c:v>47</c:v>
                </c:pt>
                <c:pt idx="894">
                  <c:v>62</c:v>
                </c:pt>
                <c:pt idx="895">
                  <c:v>61</c:v>
                </c:pt>
                <c:pt idx="896">
                  <c:v>43</c:v>
                </c:pt>
                <c:pt idx="897">
                  <c:v>19</c:v>
                </c:pt>
                <c:pt idx="898">
                  <c:v>18</c:v>
                </c:pt>
                <c:pt idx="899">
                  <c:v>19</c:v>
                </c:pt>
                <c:pt idx="900">
                  <c:v>49</c:v>
                </c:pt>
                <c:pt idx="901">
                  <c:v>60</c:v>
                </c:pt>
                <c:pt idx="902">
                  <c:v>26</c:v>
                </c:pt>
                <c:pt idx="903">
                  <c:v>49</c:v>
                </c:pt>
                <c:pt idx="904">
                  <c:v>60</c:v>
                </c:pt>
                <c:pt idx="905">
                  <c:v>26</c:v>
                </c:pt>
                <c:pt idx="906">
                  <c:v>27</c:v>
                </c:pt>
                <c:pt idx="907">
                  <c:v>44</c:v>
                </c:pt>
                <c:pt idx="908">
                  <c:v>63</c:v>
                </c:pt>
                <c:pt idx="909">
                  <c:v>32</c:v>
                </c:pt>
                <c:pt idx="910">
                  <c:v>22</c:v>
                </c:pt>
                <c:pt idx="911">
                  <c:v>18</c:v>
                </c:pt>
                <c:pt idx="912">
                  <c:v>59</c:v>
                </c:pt>
                <c:pt idx="913">
                  <c:v>44</c:v>
                </c:pt>
                <c:pt idx="914">
                  <c:v>33</c:v>
                </c:pt>
                <c:pt idx="915">
                  <c:v>24</c:v>
                </c:pt>
                <c:pt idx="916">
                  <c:v>43</c:v>
                </c:pt>
                <c:pt idx="917">
                  <c:v>45</c:v>
                </c:pt>
                <c:pt idx="918">
                  <c:v>61</c:v>
                </c:pt>
                <c:pt idx="919">
                  <c:v>35</c:v>
                </c:pt>
                <c:pt idx="920">
                  <c:v>62</c:v>
                </c:pt>
                <c:pt idx="921">
                  <c:v>62</c:v>
                </c:pt>
                <c:pt idx="922">
                  <c:v>38</c:v>
                </c:pt>
                <c:pt idx="923">
                  <c:v>34</c:v>
                </c:pt>
                <c:pt idx="924">
                  <c:v>43</c:v>
                </c:pt>
                <c:pt idx="925">
                  <c:v>50</c:v>
                </c:pt>
                <c:pt idx="926">
                  <c:v>19</c:v>
                </c:pt>
                <c:pt idx="927">
                  <c:v>57</c:v>
                </c:pt>
                <c:pt idx="928">
                  <c:v>62</c:v>
                </c:pt>
                <c:pt idx="929">
                  <c:v>41</c:v>
                </c:pt>
                <c:pt idx="930">
                  <c:v>26</c:v>
                </c:pt>
                <c:pt idx="931">
                  <c:v>39</c:v>
                </c:pt>
                <c:pt idx="932">
                  <c:v>46</c:v>
                </c:pt>
                <c:pt idx="933">
                  <c:v>45</c:v>
                </c:pt>
                <c:pt idx="934">
                  <c:v>32</c:v>
                </c:pt>
                <c:pt idx="935">
                  <c:v>59</c:v>
                </c:pt>
                <c:pt idx="936">
                  <c:v>44</c:v>
                </c:pt>
                <c:pt idx="937">
                  <c:v>39</c:v>
                </c:pt>
                <c:pt idx="938">
                  <c:v>18</c:v>
                </c:pt>
                <c:pt idx="939">
                  <c:v>53</c:v>
                </c:pt>
                <c:pt idx="940">
                  <c:v>18</c:v>
                </c:pt>
                <c:pt idx="941">
                  <c:v>50</c:v>
                </c:pt>
                <c:pt idx="942">
                  <c:v>18</c:v>
                </c:pt>
                <c:pt idx="943">
                  <c:v>19</c:v>
                </c:pt>
                <c:pt idx="944">
                  <c:v>62</c:v>
                </c:pt>
                <c:pt idx="945">
                  <c:v>56</c:v>
                </c:pt>
                <c:pt idx="946">
                  <c:v>42</c:v>
                </c:pt>
                <c:pt idx="947">
                  <c:v>37</c:v>
                </c:pt>
                <c:pt idx="948">
                  <c:v>42</c:v>
                </c:pt>
                <c:pt idx="949">
                  <c:v>25</c:v>
                </c:pt>
                <c:pt idx="950">
                  <c:v>57</c:v>
                </c:pt>
                <c:pt idx="951">
                  <c:v>51</c:v>
                </c:pt>
                <c:pt idx="952">
                  <c:v>30</c:v>
                </c:pt>
                <c:pt idx="953">
                  <c:v>44</c:v>
                </c:pt>
                <c:pt idx="954">
                  <c:v>34</c:v>
                </c:pt>
                <c:pt idx="955">
                  <c:v>31</c:v>
                </c:pt>
                <c:pt idx="956">
                  <c:v>54</c:v>
                </c:pt>
                <c:pt idx="957">
                  <c:v>24</c:v>
                </c:pt>
                <c:pt idx="958">
                  <c:v>43</c:v>
                </c:pt>
                <c:pt idx="959">
                  <c:v>48</c:v>
                </c:pt>
                <c:pt idx="960">
                  <c:v>19</c:v>
                </c:pt>
                <c:pt idx="961">
                  <c:v>29</c:v>
                </c:pt>
                <c:pt idx="962">
                  <c:v>63</c:v>
                </c:pt>
                <c:pt idx="963">
                  <c:v>46</c:v>
                </c:pt>
                <c:pt idx="964">
                  <c:v>52</c:v>
                </c:pt>
                <c:pt idx="965">
                  <c:v>35</c:v>
                </c:pt>
                <c:pt idx="966">
                  <c:v>51</c:v>
                </c:pt>
                <c:pt idx="967">
                  <c:v>44</c:v>
                </c:pt>
                <c:pt idx="968">
                  <c:v>21</c:v>
                </c:pt>
                <c:pt idx="969">
                  <c:v>39</c:v>
                </c:pt>
                <c:pt idx="970">
                  <c:v>50</c:v>
                </c:pt>
                <c:pt idx="971">
                  <c:v>34</c:v>
                </c:pt>
                <c:pt idx="972">
                  <c:v>22</c:v>
                </c:pt>
                <c:pt idx="973">
                  <c:v>19</c:v>
                </c:pt>
                <c:pt idx="974">
                  <c:v>26</c:v>
                </c:pt>
                <c:pt idx="975">
                  <c:v>29</c:v>
                </c:pt>
                <c:pt idx="976">
                  <c:v>48</c:v>
                </c:pt>
                <c:pt idx="977">
                  <c:v>26</c:v>
                </c:pt>
                <c:pt idx="978">
                  <c:v>45</c:v>
                </c:pt>
                <c:pt idx="979">
                  <c:v>36</c:v>
                </c:pt>
                <c:pt idx="980">
                  <c:v>54</c:v>
                </c:pt>
                <c:pt idx="981">
                  <c:v>34</c:v>
                </c:pt>
                <c:pt idx="982">
                  <c:v>31</c:v>
                </c:pt>
                <c:pt idx="983">
                  <c:v>27</c:v>
                </c:pt>
                <c:pt idx="984">
                  <c:v>20</c:v>
                </c:pt>
                <c:pt idx="985">
                  <c:v>44</c:v>
                </c:pt>
                <c:pt idx="986">
                  <c:v>43</c:v>
                </c:pt>
                <c:pt idx="987">
                  <c:v>45</c:v>
                </c:pt>
                <c:pt idx="988">
                  <c:v>34</c:v>
                </c:pt>
                <c:pt idx="989">
                  <c:v>24</c:v>
                </c:pt>
                <c:pt idx="990">
                  <c:v>26</c:v>
                </c:pt>
                <c:pt idx="991">
                  <c:v>38</c:v>
                </c:pt>
                <c:pt idx="992">
                  <c:v>50</c:v>
                </c:pt>
                <c:pt idx="993">
                  <c:v>38</c:v>
                </c:pt>
                <c:pt idx="994">
                  <c:v>27</c:v>
                </c:pt>
                <c:pt idx="995">
                  <c:v>39</c:v>
                </c:pt>
                <c:pt idx="996">
                  <c:v>39</c:v>
                </c:pt>
                <c:pt idx="997">
                  <c:v>63</c:v>
                </c:pt>
                <c:pt idx="998">
                  <c:v>33</c:v>
                </c:pt>
                <c:pt idx="999">
                  <c:v>36</c:v>
                </c:pt>
                <c:pt idx="1000">
                  <c:v>30</c:v>
                </c:pt>
                <c:pt idx="1001">
                  <c:v>24</c:v>
                </c:pt>
                <c:pt idx="1002">
                  <c:v>24</c:v>
                </c:pt>
                <c:pt idx="1003">
                  <c:v>48</c:v>
                </c:pt>
                <c:pt idx="1004">
                  <c:v>47</c:v>
                </c:pt>
                <c:pt idx="1005">
                  <c:v>29</c:v>
                </c:pt>
                <c:pt idx="1006">
                  <c:v>28</c:v>
                </c:pt>
                <c:pt idx="1007">
                  <c:v>47</c:v>
                </c:pt>
                <c:pt idx="1008">
                  <c:v>25</c:v>
                </c:pt>
                <c:pt idx="1009">
                  <c:v>51</c:v>
                </c:pt>
                <c:pt idx="1010">
                  <c:v>48</c:v>
                </c:pt>
                <c:pt idx="1011">
                  <c:v>43</c:v>
                </c:pt>
                <c:pt idx="1012">
                  <c:v>61</c:v>
                </c:pt>
                <c:pt idx="1013">
                  <c:v>48</c:v>
                </c:pt>
                <c:pt idx="1014">
                  <c:v>38</c:v>
                </c:pt>
                <c:pt idx="1015">
                  <c:v>59</c:v>
                </c:pt>
                <c:pt idx="1016">
                  <c:v>19</c:v>
                </c:pt>
                <c:pt idx="1017">
                  <c:v>26</c:v>
                </c:pt>
                <c:pt idx="1018">
                  <c:v>54</c:v>
                </c:pt>
                <c:pt idx="1019">
                  <c:v>21</c:v>
                </c:pt>
                <c:pt idx="1020">
                  <c:v>51</c:v>
                </c:pt>
                <c:pt idx="1021">
                  <c:v>22</c:v>
                </c:pt>
                <c:pt idx="1022">
                  <c:v>47</c:v>
                </c:pt>
                <c:pt idx="1023">
                  <c:v>18</c:v>
                </c:pt>
                <c:pt idx="1024">
                  <c:v>47</c:v>
                </c:pt>
                <c:pt idx="1025">
                  <c:v>21</c:v>
                </c:pt>
                <c:pt idx="1026">
                  <c:v>19</c:v>
                </c:pt>
                <c:pt idx="1027">
                  <c:v>23</c:v>
                </c:pt>
                <c:pt idx="1028">
                  <c:v>54</c:v>
                </c:pt>
                <c:pt idx="1029">
                  <c:v>37</c:v>
                </c:pt>
                <c:pt idx="1030">
                  <c:v>46</c:v>
                </c:pt>
                <c:pt idx="1031">
                  <c:v>55</c:v>
                </c:pt>
                <c:pt idx="1032">
                  <c:v>30</c:v>
                </c:pt>
                <c:pt idx="1033">
                  <c:v>18</c:v>
                </c:pt>
                <c:pt idx="1034">
                  <c:v>61</c:v>
                </c:pt>
                <c:pt idx="1035">
                  <c:v>54</c:v>
                </c:pt>
                <c:pt idx="1036">
                  <c:v>22</c:v>
                </c:pt>
                <c:pt idx="1037">
                  <c:v>45</c:v>
                </c:pt>
                <c:pt idx="1038">
                  <c:v>22</c:v>
                </c:pt>
                <c:pt idx="1039">
                  <c:v>19</c:v>
                </c:pt>
                <c:pt idx="1040">
                  <c:v>35</c:v>
                </c:pt>
                <c:pt idx="1041">
                  <c:v>18</c:v>
                </c:pt>
                <c:pt idx="1042">
                  <c:v>20</c:v>
                </c:pt>
                <c:pt idx="1043">
                  <c:v>28</c:v>
                </c:pt>
                <c:pt idx="1044">
                  <c:v>55</c:v>
                </c:pt>
                <c:pt idx="1045">
                  <c:v>43</c:v>
                </c:pt>
                <c:pt idx="1046">
                  <c:v>43</c:v>
                </c:pt>
                <c:pt idx="1047">
                  <c:v>22</c:v>
                </c:pt>
                <c:pt idx="1048">
                  <c:v>25</c:v>
                </c:pt>
                <c:pt idx="1049">
                  <c:v>49</c:v>
                </c:pt>
                <c:pt idx="1050">
                  <c:v>44</c:v>
                </c:pt>
                <c:pt idx="1051">
                  <c:v>64</c:v>
                </c:pt>
                <c:pt idx="1052">
                  <c:v>49</c:v>
                </c:pt>
                <c:pt idx="1053">
                  <c:v>47</c:v>
                </c:pt>
                <c:pt idx="1054">
                  <c:v>27</c:v>
                </c:pt>
                <c:pt idx="1055">
                  <c:v>55</c:v>
                </c:pt>
                <c:pt idx="1056">
                  <c:v>48</c:v>
                </c:pt>
                <c:pt idx="1057">
                  <c:v>45</c:v>
                </c:pt>
                <c:pt idx="1058">
                  <c:v>24</c:v>
                </c:pt>
                <c:pt idx="1059">
                  <c:v>32</c:v>
                </c:pt>
                <c:pt idx="1060">
                  <c:v>24</c:v>
                </c:pt>
                <c:pt idx="1061">
                  <c:v>57</c:v>
                </c:pt>
                <c:pt idx="1062">
                  <c:v>59</c:v>
                </c:pt>
                <c:pt idx="1063">
                  <c:v>36</c:v>
                </c:pt>
                <c:pt idx="1064">
                  <c:v>29</c:v>
                </c:pt>
                <c:pt idx="1065">
                  <c:v>42</c:v>
                </c:pt>
                <c:pt idx="1066">
                  <c:v>48</c:v>
                </c:pt>
                <c:pt idx="1067">
                  <c:v>39</c:v>
                </c:pt>
                <c:pt idx="1068">
                  <c:v>63</c:v>
                </c:pt>
                <c:pt idx="1069">
                  <c:v>54</c:v>
                </c:pt>
                <c:pt idx="1070">
                  <c:v>37</c:v>
                </c:pt>
                <c:pt idx="1071">
                  <c:v>63</c:v>
                </c:pt>
                <c:pt idx="1072">
                  <c:v>21</c:v>
                </c:pt>
                <c:pt idx="1073">
                  <c:v>54</c:v>
                </c:pt>
                <c:pt idx="1074">
                  <c:v>60</c:v>
                </c:pt>
                <c:pt idx="1075">
                  <c:v>32</c:v>
                </c:pt>
                <c:pt idx="1076">
                  <c:v>47</c:v>
                </c:pt>
                <c:pt idx="1077">
                  <c:v>21</c:v>
                </c:pt>
                <c:pt idx="1078">
                  <c:v>28</c:v>
                </c:pt>
                <c:pt idx="1079">
                  <c:v>63</c:v>
                </c:pt>
                <c:pt idx="1080">
                  <c:v>18</c:v>
                </c:pt>
                <c:pt idx="1081">
                  <c:v>32</c:v>
                </c:pt>
                <c:pt idx="1082">
                  <c:v>38</c:v>
                </c:pt>
                <c:pt idx="1083">
                  <c:v>32</c:v>
                </c:pt>
                <c:pt idx="1084">
                  <c:v>62</c:v>
                </c:pt>
                <c:pt idx="1085">
                  <c:v>39</c:v>
                </c:pt>
                <c:pt idx="1086">
                  <c:v>55</c:v>
                </c:pt>
                <c:pt idx="1087">
                  <c:v>57</c:v>
                </c:pt>
                <c:pt idx="1088">
                  <c:v>52</c:v>
                </c:pt>
                <c:pt idx="1089">
                  <c:v>56</c:v>
                </c:pt>
                <c:pt idx="1090">
                  <c:v>47</c:v>
                </c:pt>
                <c:pt idx="1091">
                  <c:v>55</c:v>
                </c:pt>
                <c:pt idx="1092">
                  <c:v>23</c:v>
                </c:pt>
                <c:pt idx="1093">
                  <c:v>22</c:v>
                </c:pt>
                <c:pt idx="1094">
                  <c:v>50</c:v>
                </c:pt>
                <c:pt idx="1095">
                  <c:v>18</c:v>
                </c:pt>
                <c:pt idx="1096">
                  <c:v>51</c:v>
                </c:pt>
                <c:pt idx="1097">
                  <c:v>22</c:v>
                </c:pt>
                <c:pt idx="1098">
                  <c:v>52</c:v>
                </c:pt>
                <c:pt idx="1099">
                  <c:v>25</c:v>
                </c:pt>
                <c:pt idx="1100">
                  <c:v>33</c:v>
                </c:pt>
                <c:pt idx="1101">
                  <c:v>53</c:v>
                </c:pt>
                <c:pt idx="1102">
                  <c:v>29</c:v>
                </c:pt>
                <c:pt idx="1103">
                  <c:v>58</c:v>
                </c:pt>
                <c:pt idx="1104">
                  <c:v>37</c:v>
                </c:pt>
                <c:pt idx="1105">
                  <c:v>54</c:v>
                </c:pt>
                <c:pt idx="1106">
                  <c:v>49</c:v>
                </c:pt>
                <c:pt idx="1107">
                  <c:v>50</c:v>
                </c:pt>
                <c:pt idx="1108">
                  <c:v>26</c:v>
                </c:pt>
                <c:pt idx="1109">
                  <c:v>45</c:v>
                </c:pt>
                <c:pt idx="1110">
                  <c:v>54</c:v>
                </c:pt>
                <c:pt idx="1111">
                  <c:v>38</c:v>
                </c:pt>
                <c:pt idx="1112">
                  <c:v>48</c:v>
                </c:pt>
                <c:pt idx="1113">
                  <c:v>28</c:v>
                </c:pt>
                <c:pt idx="1114">
                  <c:v>23</c:v>
                </c:pt>
                <c:pt idx="1115">
                  <c:v>55</c:v>
                </c:pt>
                <c:pt idx="1116">
                  <c:v>41</c:v>
                </c:pt>
                <c:pt idx="1117">
                  <c:v>25</c:v>
                </c:pt>
                <c:pt idx="1118">
                  <c:v>33</c:v>
                </c:pt>
                <c:pt idx="1119">
                  <c:v>30</c:v>
                </c:pt>
                <c:pt idx="1120">
                  <c:v>23</c:v>
                </c:pt>
                <c:pt idx="1121">
                  <c:v>46</c:v>
                </c:pt>
                <c:pt idx="1122">
                  <c:v>53</c:v>
                </c:pt>
                <c:pt idx="1123">
                  <c:v>27</c:v>
                </c:pt>
                <c:pt idx="1124">
                  <c:v>23</c:v>
                </c:pt>
                <c:pt idx="1125">
                  <c:v>63</c:v>
                </c:pt>
                <c:pt idx="1126">
                  <c:v>55</c:v>
                </c:pt>
                <c:pt idx="1127">
                  <c:v>35</c:v>
                </c:pt>
                <c:pt idx="1128">
                  <c:v>34</c:v>
                </c:pt>
                <c:pt idx="1129">
                  <c:v>19</c:v>
                </c:pt>
                <c:pt idx="1130">
                  <c:v>39</c:v>
                </c:pt>
                <c:pt idx="1131">
                  <c:v>27</c:v>
                </c:pt>
                <c:pt idx="1132">
                  <c:v>57</c:v>
                </c:pt>
                <c:pt idx="1133">
                  <c:v>52</c:v>
                </c:pt>
                <c:pt idx="1134">
                  <c:v>28</c:v>
                </c:pt>
                <c:pt idx="1135">
                  <c:v>50</c:v>
                </c:pt>
                <c:pt idx="1136">
                  <c:v>44</c:v>
                </c:pt>
                <c:pt idx="1137">
                  <c:v>26</c:v>
                </c:pt>
                <c:pt idx="1138">
                  <c:v>33</c:v>
                </c:pt>
                <c:pt idx="1139">
                  <c:v>19</c:v>
                </c:pt>
                <c:pt idx="1140">
                  <c:v>50</c:v>
                </c:pt>
                <c:pt idx="1141">
                  <c:v>41</c:v>
                </c:pt>
                <c:pt idx="1142">
                  <c:v>52</c:v>
                </c:pt>
                <c:pt idx="1143">
                  <c:v>39</c:v>
                </c:pt>
                <c:pt idx="1144">
                  <c:v>50</c:v>
                </c:pt>
                <c:pt idx="1145">
                  <c:v>52</c:v>
                </c:pt>
                <c:pt idx="1146">
                  <c:v>60</c:v>
                </c:pt>
                <c:pt idx="1147">
                  <c:v>20</c:v>
                </c:pt>
                <c:pt idx="1148">
                  <c:v>55</c:v>
                </c:pt>
                <c:pt idx="1149">
                  <c:v>42</c:v>
                </c:pt>
                <c:pt idx="1150">
                  <c:v>18</c:v>
                </c:pt>
                <c:pt idx="1151">
                  <c:v>58</c:v>
                </c:pt>
                <c:pt idx="1152">
                  <c:v>43</c:v>
                </c:pt>
                <c:pt idx="1153">
                  <c:v>35</c:v>
                </c:pt>
                <c:pt idx="1154">
                  <c:v>48</c:v>
                </c:pt>
                <c:pt idx="1155">
                  <c:v>36</c:v>
                </c:pt>
                <c:pt idx="1156">
                  <c:v>19</c:v>
                </c:pt>
                <c:pt idx="1157">
                  <c:v>23</c:v>
                </c:pt>
                <c:pt idx="1158">
                  <c:v>20</c:v>
                </c:pt>
                <c:pt idx="1159">
                  <c:v>32</c:v>
                </c:pt>
                <c:pt idx="1160">
                  <c:v>43</c:v>
                </c:pt>
                <c:pt idx="1161">
                  <c:v>34</c:v>
                </c:pt>
                <c:pt idx="1162">
                  <c:v>30</c:v>
                </c:pt>
                <c:pt idx="1163">
                  <c:v>18</c:v>
                </c:pt>
                <c:pt idx="1164">
                  <c:v>41</c:v>
                </c:pt>
                <c:pt idx="1165">
                  <c:v>35</c:v>
                </c:pt>
                <c:pt idx="1166">
                  <c:v>57</c:v>
                </c:pt>
                <c:pt idx="1167">
                  <c:v>29</c:v>
                </c:pt>
                <c:pt idx="1168">
                  <c:v>32</c:v>
                </c:pt>
                <c:pt idx="1169">
                  <c:v>37</c:v>
                </c:pt>
                <c:pt idx="1170">
                  <c:v>18</c:v>
                </c:pt>
                <c:pt idx="1171">
                  <c:v>43</c:v>
                </c:pt>
                <c:pt idx="1172">
                  <c:v>56</c:v>
                </c:pt>
                <c:pt idx="1173">
                  <c:v>38</c:v>
                </c:pt>
                <c:pt idx="1174">
                  <c:v>29</c:v>
                </c:pt>
                <c:pt idx="1175">
                  <c:v>22</c:v>
                </c:pt>
                <c:pt idx="1176">
                  <c:v>52</c:v>
                </c:pt>
                <c:pt idx="1177">
                  <c:v>40</c:v>
                </c:pt>
                <c:pt idx="1178">
                  <c:v>23</c:v>
                </c:pt>
                <c:pt idx="1179">
                  <c:v>31</c:v>
                </c:pt>
                <c:pt idx="1180">
                  <c:v>42</c:v>
                </c:pt>
                <c:pt idx="1181">
                  <c:v>24</c:v>
                </c:pt>
                <c:pt idx="1182">
                  <c:v>25</c:v>
                </c:pt>
                <c:pt idx="1183">
                  <c:v>48</c:v>
                </c:pt>
                <c:pt idx="1184">
                  <c:v>23</c:v>
                </c:pt>
                <c:pt idx="1185">
                  <c:v>45</c:v>
                </c:pt>
                <c:pt idx="1186">
                  <c:v>20</c:v>
                </c:pt>
                <c:pt idx="1187">
                  <c:v>62</c:v>
                </c:pt>
                <c:pt idx="1188">
                  <c:v>43</c:v>
                </c:pt>
                <c:pt idx="1189">
                  <c:v>23</c:v>
                </c:pt>
                <c:pt idx="1190">
                  <c:v>31</c:v>
                </c:pt>
                <c:pt idx="1191">
                  <c:v>41</c:v>
                </c:pt>
                <c:pt idx="1192">
                  <c:v>58</c:v>
                </c:pt>
                <c:pt idx="1193">
                  <c:v>48</c:v>
                </c:pt>
                <c:pt idx="1194">
                  <c:v>31</c:v>
                </c:pt>
                <c:pt idx="1195">
                  <c:v>19</c:v>
                </c:pt>
                <c:pt idx="1196">
                  <c:v>19</c:v>
                </c:pt>
                <c:pt idx="1197">
                  <c:v>41</c:v>
                </c:pt>
                <c:pt idx="1198">
                  <c:v>40</c:v>
                </c:pt>
                <c:pt idx="1199">
                  <c:v>31</c:v>
                </c:pt>
                <c:pt idx="1200">
                  <c:v>37</c:v>
                </c:pt>
                <c:pt idx="1201">
                  <c:v>46</c:v>
                </c:pt>
                <c:pt idx="1202">
                  <c:v>22</c:v>
                </c:pt>
                <c:pt idx="1203">
                  <c:v>51</c:v>
                </c:pt>
                <c:pt idx="1204">
                  <c:v>18</c:v>
                </c:pt>
                <c:pt idx="1205">
                  <c:v>35</c:v>
                </c:pt>
                <c:pt idx="1206">
                  <c:v>59</c:v>
                </c:pt>
                <c:pt idx="1207">
                  <c:v>36</c:v>
                </c:pt>
                <c:pt idx="1208">
                  <c:v>37</c:v>
                </c:pt>
                <c:pt idx="1209">
                  <c:v>59</c:v>
                </c:pt>
                <c:pt idx="1210">
                  <c:v>36</c:v>
                </c:pt>
                <c:pt idx="1211">
                  <c:v>39</c:v>
                </c:pt>
                <c:pt idx="1212">
                  <c:v>18</c:v>
                </c:pt>
                <c:pt idx="1213">
                  <c:v>52</c:v>
                </c:pt>
                <c:pt idx="1214">
                  <c:v>27</c:v>
                </c:pt>
                <c:pt idx="1215">
                  <c:v>18</c:v>
                </c:pt>
                <c:pt idx="1216">
                  <c:v>40</c:v>
                </c:pt>
                <c:pt idx="1217">
                  <c:v>29</c:v>
                </c:pt>
                <c:pt idx="1218">
                  <c:v>46</c:v>
                </c:pt>
                <c:pt idx="1219">
                  <c:v>38</c:v>
                </c:pt>
                <c:pt idx="1220">
                  <c:v>30</c:v>
                </c:pt>
                <c:pt idx="1221">
                  <c:v>40</c:v>
                </c:pt>
                <c:pt idx="1222">
                  <c:v>50</c:v>
                </c:pt>
                <c:pt idx="1223">
                  <c:v>20</c:v>
                </c:pt>
                <c:pt idx="1224">
                  <c:v>41</c:v>
                </c:pt>
                <c:pt idx="1225">
                  <c:v>33</c:v>
                </c:pt>
                <c:pt idx="1226">
                  <c:v>38</c:v>
                </c:pt>
                <c:pt idx="1227">
                  <c:v>42</c:v>
                </c:pt>
                <c:pt idx="1228">
                  <c:v>56</c:v>
                </c:pt>
                <c:pt idx="1229">
                  <c:v>58</c:v>
                </c:pt>
                <c:pt idx="1230">
                  <c:v>52</c:v>
                </c:pt>
                <c:pt idx="1231">
                  <c:v>20</c:v>
                </c:pt>
                <c:pt idx="1232">
                  <c:v>54</c:v>
                </c:pt>
                <c:pt idx="1233">
                  <c:v>58</c:v>
                </c:pt>
                <c:pt idx="1234">
                  <c:v>45</c:v>
                </c:pt>
                <c:pt idx="1235">
                  <c:v>26</c:v>
                </c:pt>
                <c:pt idx="1236">
                  <c:v>63</c:v>
                </c:pt>
                <c:pt idx="1237">
                  <c:v>58</c:v>
                </c:pt>
                <c:pt idx="1238">
                  <c:v>37</c:v>
                </c:pt>
                <c:pt idx="1239">
                  <c:v>25</c:v>
                </c:pt>
                <c:pt idx="1240">
                  <c:v>52</c:v>
                </c:pt>
                <c:pt idx="1241">
                  <c:v>64</c:v>
                </c:pt>
                <c:pt idx="1242">
                  <c:v>22</c:v>
                </c:pt>
                <c:pt idx="1243">
                  <c:v>28</c:v>
                </c:pt>
                <c:pt idx="1244">
                  <c:v>18</c:v>
                </c:pt>
                <c:pt idx="1245">
                  <c:v>28</c:v>
                </c:pt>
                <c:pt idx="1246">
                  <c:v>45</c:v>
                </c:pt>
                <c:pt idx="1247">
                  <c:v>33</c:v>
                </c:pt>
                <c:pt idx="1248">
                  <c:v>18</c:v>
                </c:pt>
                <c:pt idx="1249">
                  <c:v>32</c:v>
                </c:pt>
                <c:pt idx="1250">
                  <c:v>24</c:v>
                </c:pt>
                <c:pt idx="1251">
                  <c:v>19</c:v>
                </c:pt>
                <c:pt idx="1252">
                  <c:v>20</c:v>
                </c:pt>
                <c:pt idx="1253">
                  <c:v>40</c:v>
                </c:pt>
                <c:pt idx="1254">
                  <c:v>34</c:v>
                </c:pt>
                <c:pt idx="1255">
                  <c:v>42</c:v>
                </c:pt>
                <c:pt idx="1256">
                  <c:v>51</c:v>
                </c:pt>
                <c:pt idx="1257">
                  <c:v>54</c:v>
                </c:pt>
                <c:pt idx="1258">
                  <c:v>55</c:v>
                </c:pt>
                <c:pt idx="1259">
                  <c:v>52</c:v>
                </c:pt>
                <c:pt idx="1260">
                  <c:v>32</c:v>
                </c:pt>
                <c:pt idx="1261">
                  <c:v>28</c:v>
                </c:pt>
                <c:pt idx="1262">
                  <c:v>41</c:v>
                </c:pt>
                <c:pt idx="1263">
                  <c:v>43</c:v>
                </c:pt>
                <c:pt idx="1264">
                  <c:v>49</c:v>
                </c:pt>
                <c:pt idx="1265">
                  <c:v>64</c:v>
                </c:pt>
                <c:pt idx="1266">
                  <c:v>55</c:v>
                </c:pt>
                <c:pt idx="1267">
                  <c:v>24</c:v>
                </c:pt>
                <c:pt idx="1268">
                  <c:v>20</c:v>
                </c:pt>
                <c:pt idx="1269">
                  <c:v>45</c:v>
                </c:pt>
                <c:pt idx="1270">
                  <c:v>26</c:v>
                </c:pt>
                <c:pt idx="1271">
                  <c:v>25</c:v>
                </c:pt>
                <c:pt idx="1272">
                  <c:v>43</c:v>
                </c:pt>
                <c:pt idx="1273">
                  <c:v>35</c:v>
                </c:pt>
                <c:pt idx="1274">
                  <c:v>26</c:v>
                </c:pt>
                <c:pt idx="1275">
                  <c:v>57</c:v>
                </c:pt>
                <c:pt idx="1276">
                  <c:v>22</c:v>
                </c:pt>
                <c:pt idx="1277">
                  <c:v>32</c:v>
                </c:pt>
                <c:pt idx="1278">
                  <c:v>39</c:v>
                </c:pt>
                <c:pt idx="1279">
                  <c:v>25</c:v>
                </c:pt>
                <c:pt idx="1280">
                  <c:v>48</c:v>
                </c:pt>
                <c:pt idx="1281">
                  <c:v>47</c:v>
                </c:pt>
                <c:pt idx="1282">
                  <c:v>18</c:v>
                </c:pt>
                <c:pt idx="1283">
                  <c:v>18</c:v>
                </c:pt>
                <c:pt idx="1284">
                  <c:v>61</c:v>
                </c:pt>
                <c:pt idx="1285">
                  <c:v>47</c:v>
                </c:pt>
                <c:pt idx="1286">
                  <c:v>28</c:v>
                </c:pt>
                <c:pt idx="1287">
                  <c:v>36</c:v>
                </c:pt>
                <c:pt idx="1288">
                  <c:v>20</c:v>
                </c:pt>
                <c:pt idx="1289">
                  <c:v>44</c:v>
                </c:pt>
                <c:pt idx="1290">
                  <c:v>38</c:v>
                </c:pt>
                <c:pt idx="1291">
                  <c:v>19</c:v>
                </c:pt>
                <c:pt idx="1292">
                  <c:v>21</c:v>
                </c:pt>
                <c:pt idx="1293">
                  <c:v>46</c:v>
                </c:pt>
                <c:pt idx="1294">
                  <c:v>58</c:v>
                </c:pt>
                <c:pt idx="1295">
                  <c:v>20</c:v>
                </c:pt>
                <c:pt idx="1296">
                  <c:v>18</c:v>
                </c:pt>
                <c:pt idx="1297">
                  <c:v>28</c:v>
                </c:pt>
                <c:pt idx="1298">
                  <c:v>33</c:v>
                </c:pt>
                <c:pt idx="1299">
                  <c:v>19</c:v>
                </c:pt>
                <c:pt idx="1300">
                  <c:v>45</c:v>
                </c:pt>
                <c:pt idx="1301">
                  <c:v>62</c:v>
                </c:pt>
                <c:pt idx="1302">
                  <c:v>25</c:v>
                </c:pt>
                <c:pt idx="1303">
                  <c:v>43</c:v>
                </c:pt>
                <c:pt idx="1304">
                  <c:v>42</c:v>
                </c:pt>
                <c:pt idx="1305">
                  <c:v>24</c:v>
                </c:pt>
                <c:pt idx="1306">
                  <c:v>29</c:v>
                </c:pt>
                <c:pt idx="1307">
                  <c:v>32</c:v>
                </c:pt>
                <c:pt idx="1308">
                  <c:v>25</c:v>
                </c:pt>
                <c:pt idx="1309">
                  <c:v>41</c:v>
                </c:pt>
                <c:pt idx="1310">
                  <c:v>42</c:v>
                </c:pt>
                <c:pt idx="1311">
                  <c:v>33</c:v>
                </c:pt>
                <c:pt idx="1312">
                  <c:v>34</c:v>
                </c:pt>
                <c:pt idx="1313">
                  <c:v>19</c:v>
                </c:pt>
                <c:pt idx="1314">
                  <c:v>30</c:v>
                </c:pt>
                <c:pt idx="1315">
                  <c:v>18</c:v>
                </c:pt>
                <c:pt idx="1316">
                  <c:v>19</c:v>
                </c:pt>
                <c:pt idx="1317">
                  <c:v>18</c:v>
                </c:pt>
                <c:pt idx="1318">
                  <c:v>35</c:v>
                </c:pt>
                <c:pt idx="1319">
                  <c:v>39</c:v>
                </c:pt>
                <c:pt idx="1320">
                  <c:v>31</c:v>
                </c:pt>
                <c:pt idx="1321">
                  <c:v>62</c:v>
                </c:pt>
                <c:pt idx="1322">
                  <c:v>62</c:v>
                </c:pt>
                <c:pt idx="1323">
                  <c:v>42</c:v>
                </c:pt>
                <c:pt idx="1324">
                  <c:v>31</c:v>
                </c:pt>
                <c:pt idx="1325">
                  <c:v>61</c:v>
                </c:pt>
                <c:pt idx="1326">
                  <c:v>42</c:v>
                </c:pt>
                <c:pt idx="1327">
                  <c:v>51</c:v>
                </c:pt>
                <c:pt idx="1328">
                  <c:v>23</c:v>
                </c:pt>
                <c:pt idx="1329">
                  <c:v>52</c:v>
                </c:pt>
                <c:pt idx="1330">
                  <c:v>57</c:v>
                </c:pt>
                <c:pt idx="1331">
                  <c:v>23</c:v>
                </c:pt>
                <c:pt idx="1332">
                  <c:v>52</c:v>
                </c:pt>
                <c:pt idx="1333">
                  <c:v>50</c:v>
                </c:pt>
                <c:pt idx="1334">
                  <c:v>18</c:v>
                </c:pt>
                <c:pt idx="1335">
                  <c:v>18</c:v>
                </c:pt>
                <c:pt idx="1336">
                  <c:v>21</c:v>
                </c:pt>
                <c:pt idx="1337">
                  <c:v>61</c:v>
                </c:pt>
              </c:numCache>
            </c:numRef>
          </c:xVal>
          <c:yVal>
            <c:numRef>
              <c:f>insurance!$G$2:$G$1339</c:f>
              <c:numCache>
                <c:formatCode>General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2-6A4D-8A48-B22E442C6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746015"/>
        <c:axId val="2076747743"/>
      </c:scatterChart>
      <c:valAx>
        <c:axId val="2076746015"/>
        <c:scaling>
          <c:orientation val="minMax"/>
        </c:scaling>
        <c:delete val="0"/>
        <c:axPos val="b"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76747743"/>
        <c:crosses val="autoZero"/>
        <c:crossBetween val="midCat"/>
      </c:valAx>
      <c:valAx>
        <c:axId val="2076747743"/>
        <c:scaling>
          <c:orientation val="minMax"/>
        </c:scaling>
        <c:delete val="0"/>
        <c:axPos val="l"/>
        <c:majorGridlines>
          <c:spPr>
            <a:ln>
              <a:solidFill>
                <a:srgbClr val="EEEEFF"/>
              </a:solidFill>
            </a:ln>
          </c:spPr>
        </c:majorGridlines>
        <c:numFmt formatCode="0.000" sourceLinked="0"/>
        <c:majorTickMark val="out"/>
        <c:minorTickMark val="none"/>
        <c:tickLblPos val="nextTo"/>
        <c:crossAx val="207674601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/>
            </a:pPr>
            <a:r>
              <a:rPr lang="en-GB" sz="1000" b="0"/>
              <a:t>charges vs bmi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3"/>
            <c:spPr>
              <a:ln/>
            </c:spPr>
          </c:marker>
          <c:xVal>
            <c:numRef>
              <c:f>insurance!$C$2:$C$1339</c:f>
              <c:numCache>
                <c:formatCode>General</c:formatCode>
                <c:ptCount val="1338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  <c:pt idx="937">
                  <c:v>24.225000000000001</c:v>
                </c:pt>
                <c:pt idx="938">
                  <c:v>26.18</c:v>
                </c:pt>
                <c:pt idx="939">
                  <c:v>29.48</c:v>
                </c:pt>
                <c:pt idx="940">
                  <c:v>23.21</c:v>
                </c:pt>
                <c:pt idx="941">
                  <c:v>46.09</c:v>
                </c:pt>
                <c:pt idx="942">
                  <c:v>40.185000000000002</c:v>
                </c:pt>
                <c:pt idx="943">
                  <c:v>22.61</c:v>
                </c:pt>
                <c:pt idx="944">
                  <c:v>39.93</c:v>
                </c:pt>
                <c:pt idx="945">
                  <c:v>35.799999999999997</c:v>
                </c:pt>
                <c:pt idx="946">
                  <c:v>35.799999999999997</c:v>
                </c:pt>
                <c:pt idx="947">
                  <c:v>34.200000000000003</c:v>
                </c:pt>
                <c:pt idx="948">
                  <c:v>31.254999999999999</c:v>
                </c:pt>
                <c:pt idx="949">
                  <c:v>29.7</c:v>
                </c:pt>
                <c:pt idx="950">
                  <c:v>18.335000000000001</c:v>
                </c:pt>
                <c:pt idx="951">
                  <c:v>42.9</c:v>
                </c:pt>
                <c:pt idx="952">
                  <c:v>28.405000000000001</c:v>
                </c:pt>
                <c:pt idx="953">
                  <c:v>30.2</c:v>
                </c:pt>
                <c:pt idx="954">
                  <c:v>27.835000000000001</c:v>
                </c:pt>
                <c:pt idx="955">
                  <c:v>39.49</c:v>
                </c:pt>
                <c:pt idx="956">
                  <c:v>30.8</c:v>
                </c:pt>
                <c:pt idx="957">
                  <c:v>26.79</c:v>
                </c:pt>
                <c:pt idx="958">
                  <c:v>34.96</c:v>
                </c:pt>
                <c:pt idx="959">
                  <c:v>36.67</c:v>
                </c:pt>
                <c:pt idx="960">
                  <c:v>39.615000000000002</c:v>
                </c:pt>
                <c:pt idx="961">
                  <c:v>25.9</c:v>
                </c:pt>
                <c:pt idx="962">
                  <c:v>35.200000000000003</c:v>
                </c:pt>
                <c:pt idx="963">
                  <c:v>24.795000000000002</c:v>
                </c:pt>
                <c:pt idx="964">
                  <c:v>36.765000000000001</c:v>
                </c:pt>
                <c:pt idx="965">
                  <c:v>27.1</c:v>
                </c:pt>
                <c:pt idx="966">
                  <c:v>24.795000000000002</c:v>
                </c:pt>
                <c:pt idx="967">
                  <c:v>25.364999999999998</c:v>
                </c:pt>
                <c:pt idx="968">
                  <c:v>25.745000000000001</c:v>
                </c:pt>
                <c:pt idx="969">
                  <c:v>34.32</c:v>
                </c:pt>
                <c:pt idx="970">
                  <c:v>28.16</c:v>
                </c:pt>
                <c:pt idx="971">
                  <c:v>23.56</c:v>
                </c:pt>
                <c:pt idx="972">
                  <c:v>20.234999999999999</c:v>
                </c:pt>
                <c:pt idx="973">
                  <c:v>40.5</c:v>
                </c:pt>
                <c:pt idx="974">
                  <c:v>35.42</c:v>
                </c:pt>
                <c:pt idx="975">
                  <c:v>22.895</c:v>
                </c:pt>
                <c:pt idx="976">
                  <c:v>40.15</c:v>
                </c:pt>
                <c:pt idx="977">
                  <c:v>29.15</c:v>
                </c:pt>
                <c:pt idx="978">
                  <c:v>39.994999999999997</c:v>
                </c:pt>
                <c:pt idx="979">
                  <c:v>29.92</c:v>
                </c:pt>
                <c:pt idx="980">
                  <c:v>25.46</c:v>
                </c:pt>
                <c:pt idx="981">
                  <c:v>21.375</c:v>
                </c:pt>
                <c:pt idx="982">
                  <c:v>25.9</c:v>
                </c:pt>
                <c:pt idx="983">
                  <c:v>30.59</c:v>
                </c:pt>
                <c:pt idx="984">
                  <c:v>30.114999999999998</c:v>
                </c:pt>
                <c:pt idx="985">
                  <c:v>25.8</c:v>
                </c:pt>
                <c:pt idx="986">
                  <c:v>30.114999999999998</c:v>
                </c:pt>
                <c:pt idx="987">
                  <c:v>27.645</c:v>
                </c:pt>
                <c:pt idx="988">
                  <c:v>34.674999999999997</c:v>
                </c:pt>
                <c:pt idx="989">
                  <c:v>20.52</c:v>
                </c:pt>
                <c:pt idx="990">
                  <c:v>19.8</c:v>
                </c:pt>
                <c:pt idx="991">
                  <c:v>27.835000000000001</c:v>
                </c:pt>
                <c:pt idx="992">
                  <c:v>31.6</c:v>
                </c:pt>
                <c:pt idx="993">
                  <c:v>28.27</c:v>
                </c:pt>
                <c:pt idx="994">
                  <c:v>20.045000000000002</c:v>
                </c:pt>
                <c:pt idx="995">
                  <c:v>23.274999999999999</c:v>
                </c:pt>
                <c:pt idx="996">
                  <c:v>34.1</c:v>
                </c:pt>
                <c:pt idx="997">
                  <c:v>36.85</c:v>
                </c:pt>
                <c:pt idx="998">
                  <c:v>36.29</c:v>
                </c:pt>
                <c:pt idx="999">
                  <c:v>26.885000000000002</c:v>
                </c:pt>
                <c:pt idx="1000">
                  <c:v>22.99</c:v>
                </c:pt>
                <c:pt idx="1001">
                  <c:v>32.700000000000003</c:v>
                </c:pt>
                <c:pt idx="1002">
                  <c:v>25.8</c:v>
                </c:pt>
                <c:pt idx="1003">
                  <c:v>29.6</c:v>
                </c:pt>
                <c:pt idx="1004">
                  <c:v>19.190000000000001</c:v>
                </c:pt>
                <c:pt idx="1005">
                  <c:v>31.73</c:v>
                </c:pt>
                <c:pt idx="1006">
                  <c:v>29.26</c:v>
                </c:pt>
                <c:pt idx="1007">
                  <c:v>28.215</c:v>
                </c:pt>
                <c:pt idx="1008">
                  <c:v>24.984999999999999</c:v>
                </c:pt>
                <c:pt idx="1009">
                  <c:v>27.74</c:v>
                </c:pt>
                <c:pt idx="1010">
                  <c:v>22.8</c:v>
                </c:pt>
                <c:pt idx="1011">
                  <c:v>20.13</c:v>
                </c:pt>
                <c:pt idx="1012">
                  <c:v>33.33</c:v>
                </c:pt>
                <c:pt idx="1013">
                  <c:v>32.299999999999997</c:v>
                </c:pt>
                <c:pt idx="1014">
                  <c:v>27.6</c:v>
                </c:pt>
                <c:pt idx="1015">
                  <c:v>25.46</c:v>
                </c:pt>
                <c:pt idx="1016">
                  <c:v>24.605</c:v>
                </c:pt>
                <c:pt idx="1017">
                  <c:v>34.200000000000003</c:v>
                </c:pt>
                <c:pt idx="1018">
                  <c:v>35.814999999999998</c:v>
                </c:pt>
                <c:pt idx="1019">
                  <c:v>32.68</c:v>
                </c:pt>
                <c:pt idx="1020">
                  <c:v>37</c:v>
                </c:pt>
                <c:pt idx="1021">
                  <c:v>31.02</c:v>
                </c:pt>
                <c:pt idx="1022">
                  <c:v>36.08</c:v>
                </c:pt>
                <c:pt idx="1023">
                  <c:v>23.32</c:v>
                </c:pt>
                <c:pt idx="1024">
                  <c:v>45.32</c:v>
                </c:pt>
                <c:pt idx="1025">
                  <c:v>34.6</c:v>
                </c:pt>
                <c:pt idx="1026">
                  <c:v>26.03</c:v>
                </c:pt>
                <c:pt idx="1027">
                  <c:v>18.715</c:v>
                </c:pt>
                <c:pt idx="1028">
                  <c:v>31.6</c:v>
                </c:pt>
                <c:pt idx="1029">
                  <c:v>17.29</c:v>
                </c:pt>
                <c:pt idx="1030">
                  <c:v>23.655000000000001</c:v>
                </c:pt>
                <c:pt idx="1031">
                  <c:v>35.200000000000003</c:v>
                </c:pt>
                <c:pt idx="1032">
                  <c:v>27.93</c:v>
                </c:pt>
                <c:pt idx="1033">
                  <c:v>21.565000000000001</c:v>
                </c:pt>
                <c:pt idx="1034">
                  <c:v>38.380000000000003</c:v>
                </c:pt>
                <c:pt idx="1035">
                  <c:v>23</c:v>
                </c:pt>
                <c:pt idx="1036">
                  <c:v>37.07</c:v>
                </c:pt>
                <c:pt idx="1037">
                  <c:v>30.495000000000001</c:v>
                </c:pt>
                <c:pt idx="1038">
                  <c:v>28.88</c:v>
                </c:pt>
                <c:pt idx="1039">
                  <c:v>27.265000000000001</c:v>
                </c:pt>
                <c:pt idx="1040">
                  <c:v>28.024999999999999</c:v>
                </c:pt>
                <c:pt idx="1041">
                  <c:v>23.085000000000001</c:v>
                </c:pt>
                <c:pt idx="1042">
                  <c:v>30.684999999999999</c:v>
                </c:pt>
                <c:pt idx="1043">
                  <c:v>25.8</c:v>
                </c:pt>
                <c:pt idx="1044">
                  <c:v>35.244999999999997</c:v>
                </c:pt>
                <c:pt idx="1045">
                  <c:v>24.7</c:v>
                </c:pt>
                <c:pt idx="1046">
                  <c:v>25.08</c:v>
                </c:pt>
                <c:pt idx="1047">
                  <c:v>52.58</c:v>
                </c:pt>
                <c:pt idx="1048">
                  <c:v>22.515000000000001</c:v>
                </c:pt>
                <c:pt idx="1049">
                  <c:v>30.9</c:v>
                </c:pt>
                <c:pt idx="1050">
                  <c:v>36.954999999999998</c:v>
                </c:pt>
                <c:pt idx="1051">
                  <c:v>26.41</c:v>
                </c:pt>
                <c:pt idx="1052">
                  <c:v>29.83</c:v>
                </c:pt>
                <c:pt idx="1053">
                  <c:v>29.8</c:v>
                </c:pt>
                <c:pt idx="1054">
                  <c:v>21.47</c:v>
                </c:pt>
                <c:pt idx="1055">
                  <c:v>27.645</c:v>
                </c:pt>
                <c:pt idx="1056">
                  <c:v>28.9</c:v>
                </c:pt>
                <c:pt idx="1057">
                  <c:v>31.79</c:v>
                </c:pt>
                <c:pt idx="1058">
                  <c:v>39.49</c:v>
                </c:pt>
                <c:pt idx="1059">
                  <c:v>33.82</c:v>
                </c:pt>
                <c:pt idx="1060">
                  <c:v>32.01</c:v>
                </c:pt>
                <c:pt idx="1061">
                  <c:v>27.94</c:v>
                </c:pt>
                <c:pt idx="1062">
                  <c:v>41.14</c:v>
                </c:pt>
                <c:pt idx="1063">
                  <c:v>28.594999999999999</c:v>
                </c:pt>
                <c:pt idx="1064">
                  <c:v>25.6</c:v>
                </c:pt>
                <c:pt idx="1065">
                  <c:v>25.3</c:v>
                </c:pt>
                <c:pt idx="1066">
                  <c:v>37.29</c:v>
                </c:pt>
                <c:pt idx="1067">
                  <c:v>42.655000000000001</c:v>
                </c:pt>
                <c:pt idx="1068">
                  <c:v>21.66</c:v>
                </c:pt>
                <c:pt idx="1069">
                  <c:v>31.9</c:v>
                </c:pt>
                <c:pt idx="1070">
                  <c:v>37.07</c:v>
                </c:pt>
                <c:pt idx="1071">
                  <c:v>31.445</c:v>
                </c:pt>
                <c:pt idx="1072">
                  <c:v>31.254999999999999</c:v>
                </c:pt>
                <c:pt idx="1073">
                  <c:v>28.88</c:v>
                </c:pt>
                <c:pt idx="1074">
                  <c:v>18.335000000000001</c:v>
                </c:pt>
                <c:pt idx="1075">
                  <c:v>29.59</c:v>
                </c:pt>
                <c:pt idx="1076">
                  <c:v>32</c:v>
                </c:pt>
                <c:pt idx="1077">
                  <c:v>26.03</c:v>
                </c:pt>
                <c:pt idx="1078">
                  <c:v>31.68</c:v>
                </c:pt>
                <c:pt idx="1079">
                  <c:v>33.659999999999997</c:v>
                </c:pt>
                <c:pt idx="1080">
                  <c:v>21.78</c:v>
                </c:pt>
                <c:pt idx="1081">
                  <c:v>27.835000000000001</c:v>
                </c:pt>
                <c:pt idx="1082">
                  <c:v>19.95</c:v>
                </c:pt>
                <c:pt idx="1083">
                  <c:v>31.5</c:v>
                </c:pt>
                <c:pt idx="1084">
                  <c:v>30.495000000000001</c:v>
                </c:pt>
                <c:pt idx="1085">
                  <c:v>18.3</c:v>
                </c:pt>
                <c:pt idx="1086">
                  <c:v>28.975000000000001</c:v>
                </c:pt>
                <c:pt idx="1087">
                  <c:v>31.54</c:v>
                </c:pt>
                <c:pt idx="1088">
                  <c:v>47.74</c:v>
                </c:pt>
                <c:pt idx="1089">
                  <c:v>22.1</c:v>
                </c:pt>
                <c:pt idx="1090">
                  <c:v>36.19</c:v>
                </c:pt>
                <c:pt idx="1091">
                  <c:v>29.83</c:v>
                </c:pt>
                <c:pt idx="1092">
                  <c:v>32.700000000000003</c:v>
                </c:pt>
                <c:pt idx="1093">
                  <c:v>30.4</c:v>
                </c:pt>
                <c:pt idx="1094">
                  <c:v>33.700000000000003</c:v>
                </c:pt>
                <c:pt idx="1095">
                  <c:v>31.35</c:v>
                </c:pt>
                <c:pt idx="1096">
                  <c:v>34.96</c:v>
                </c:pt>
                <c:pt idx="1097">
                  <c:v>33.770000000000003</c:v>
                </c:pt>
                <c:pt idx="1098">
                  <c:v>30.875</c:v>
                </c:pt>
                <c:pt idx="1099">
                  <c:v>33.99</c:v>
                </c:pt>
                <c:pt idx="1100">
                  <c:v>19.094999999999999</c:v>
                </c:pt>
                <c:pt idx="1101">
                  <c:v>28.6</c:v>
                </c:pt>
                <c:pt idx="1102">
                  <c:v>38.94</c:v>
                </c:pt>
                <c:pt idx="1103">
                  <c:v>36.08</c:v>
                </c:pt>
                <c:pt idx="1104">
                  <c:v>29.8</c:v>
                </c:pt>
                <c:pt idx="1105">
                  <c:v>31.24</c:v>
                </c:pt>
                <c:pt idx="1106">
                  <c:v>29.925000000000001</c:v>
                </c:pt>
                <c:pt idx="1107">
                  <c:v>26.22</c:v>
                </c:pt>
                <c:pt idx="1108">
                  <c:v>30</c:v>
                </c:pt>
                <c:pt idx="1109">
                  <c:v>20.350000000000001</c:v>
                </c:pt>
                <c:pt idx="1110">
                  <c:v>32.299999999999997</c:v>
                </c:pt>
                <c:pt idx="1111">
                  <c:v>38.39</c:v>
                </c:pt>
                <c:pt idx="1112">
                  <c:v>25.85</c:v>
                </c:pt>
                <c:pt idx="1113">
                  <c:v>26.315000000000001</c:v>
                </c:pt>
                <c:pt idx="1114">
                  <c:v>24.51</c:v>
                </c:pt>
                <c:pt idx="1115">
                  <c:v>32.67</c:v>
                </c:pt>
                <c:pt idx="1116">
                  <c:v>29.64</c:v>
                </c:pt>
                <c:pt idx="1117">
                  <c:v>33.33</c:v>
                </c:pt>
                <c:pt idx="1118">
                  <c:v>35.75</c:v>
                </c:pt>
                <c:pt idx="1119">
                  <c:v>19.95</c:v>
                </c:pt>
                <c:pt idx="1120">
                  <c:v>31.4</c:v>
                </c:pt>
                <c:pt idx="1121">
                  <c:v>38.17</c:v>
                </c:pt>
                <c:pt idx="1122">
                  <c:v>36.86</c:v>
                </c:pt>
                <c:pt idx="1123">
                  <c:v>32.395000000000003</c:v>
                </c:pt>
                <c:pt idx="1124">
                  <c:v>42.75</c:v>
                </c:pt>
                <c:pt idx="1125">
                  <c:v>25.08</c:v>
                </c:pt>
                <c:pt idx="1126">
                  <c:v>29.9</c:v>
                </c:pt>
                <c:pt idx="1127">
                  <c:v>35.86</c:v>
                </c:pt>
                <c:pt idx="1128">
                  <c:v>32.799999999999997</c:v>
                </c:pt>
                <c:pt idx="1129">
                  <c:v>18.600000000000001</c:v>
                </c:pt>
                <c:pt idx="1130">
                  <c:v>23.87</c:v>
                </c:pt>
                <c:pt idx="1131">
                  <c:v>45.9</c:v>
                </c:pt>
                <c:pt idx="1132">
                  <c:v>40.28</c:v>
                </c:pt>
                <c:pt idx="1133">
                  <c:v>18.335000000000001</c:v>
                </c:pt>
                <c:pt idx="1134">
                  <c:v>33.82</c:v>
                </c:pt>
                <c:pt idx="1135">
                  <c:v>28.12</c:v>
                </c:pt>
                <c:pt idx="1136">
                  <c:v>25</c:v>
                </c:pt>
                <c:pt idx="1137">
                  <c:v>22.23</c:v>
                </c:pt>
                <c:pt idx="1138">
                  <c:v>30.25</c:v>
                </c:pt>
                <c:pt idx="1139">
                  <c:v>32.49</c:v>
                </c:pt>
                <c:pt idx="1140">
                  <c:v>37.07</c:v>
                </c:pt>
                <c:pt idx="1141">
                  <c:v>32.6</c:v>
                </c:pt>
                <c:pt idx="1142">
                  <c:v>24.86</c:v>
                </c:pt>
                <c:pt idx="1143">
                  <c:v>32.340000000000003</c:v>
                </c:pt>
                <c:pt idx="1144">
                  <c:v>32.299999999999997</c:v>
                </c:pt>
                <c:pt idx="1145">
                  <c:v>32.774999999999999</c:v>
                </c:pt>
                <c:pt idx="1146">
                  <c:v>32.799999999999997</c:v>
                </c:pt>
                <c:pt idx="1147">
                  <c:v>31.92</c:v>
                </c:pt>
                <c:pt idx="1148">
                  <c:v>21.5</c:v>
                </c:pt>
                <c:pt idx="1149">
                  <c:v>34.1</c:v>
                </c:pt>
                <c:pt idx="1150">
                  <c:v>30.305</c:v>
                </c:pt>
                <c:pt idx="1151">
                  <c:v>36.479999999999997</c:v>
                </c:pt>
                <c:pt idx="1152">
                  <c:v>32.56</c:v>
                </c:pt>
                <c:pt idx="1153">
                  <c:v>35.814999999999998</c:v>
                </c:pt>
                <c:pt idx="1154">
                  <c:v>27.93</c:v>
                </c:pt>
                <c:pt idx="1155">
                  <c:v>22.135000000000002</c:v>
                </c:pt>
                <c:pt idx="1156">
                  <c:v>44.88</c:v>
                </c:pt>
                <c:pt idx="1157">
                  <c:v>23.18</c:v>
                </c:pt>
                <c:pt idx="1158">
                  <c:v>30.59</c:v>
                </c:pt>
                <c:pt idx="1159">
                  <c:v>41.1</c:v>
                </c:pt>
                <c:pt idx="1160">
                  <c:v>34.58</c:v>
                </c:pt>
                <c:pt idx="1161">
                  <c:v>42.13</c:v>
                </c:pt>
                <c:pt idx="1162">
                  <c:v>38.83</c:v>
                </c:pt>
                <c:pt idx="1163">
                  <c:v>28.215</c:v>
                </c:pt>
                <c:pt idx="1164">
                  <c:v>28.31</c:v>
                </c:pt>
                <c:pt idx="1165">
                  <c:v>26.125</c:v>
                </c:pt>
                <c:pt idx="1166">
                  <c:v>40.369999999999997</c:v>
                </c:pt>
                <c:pt idx="1167">
                  <c:v>24.6</c:v>
                </c:pt>
                <c:pt idx="1168">
                  <c:v>35.200000000000003</c:v>
                </c:pt>
                <c:pt idx="1169">
                  <c:v>34.104999999999997</c:v>
                </c:pt>
                <c:pt idx="1170">
                  <c:v>27.36</c:v>
                </c:pt>
                <c:pt idx="1171">
                  <c:v>26.7</c:v>
                </c:pt>
                <c:pt idx="1172">
                  <c:v>41.91</c:v>
                </c:pt>
                <c:pt idx="1173">
                  <c:v>29.26</c:v>
                </c:pt>
                <c:pt idx="1174">
                  <c:v>32.11</c:v>
                </c:pt>
                <c:pt idx="1175">
                  <c:v>27.1</c:v>
                </c:pt>
                <c:pt idx="1176">
                  <c:v>24.13</c:v>
                </c:pt>
                <c:pt idx="1177">
                  <c:v>27.4</c:v>
                </c:pt>
                <c:pt idx="1178">
                  <c:v>34.865000000000002</c:v>
                </c:pt>
                <c:pt idx="1179">
                  <c:v>29.81</c:v>
                </c:pt>
                <c:pt idx="1180">
                  <c:v>41.325000000000003</c:v>
                </c:pt>
                <c:pt idx="1181">
                  <c:v>29.925000000000001</c:v>
                </c:pt>
                <c:pt idx="1182">
                  <c:v>30.3</c:v>
                </c:pt>
                <c:pt idx="1183">
                  <c:v>27.36</c:v>
                </c:pt>
                <c:pt idx="1184">
                  <c:v>28.49</c:v>
                </c:pt>
                <c:pt idx="1185">
                  <c:v>23.56</c:v>
                </c:pt>
                <c:pt idx="1186">
                  <c:v>35.625</c:v>
                </c:pt>
                <c:pt idx="1187">
                  <c:v>32.68</c:v>
                </c:pt>
                <c:pt idx="1188">
                  <c:v>25.27</c:v>
                </c:pt>
                <c:pt idx="1189">
                  <c:v>28</c:v>
                </c:pt>
                <c:pt idx="1190">
                  <c:v>32.774999999999999</c:v>
                </c:pt>
                <c:pt idx="1191">
                  <c:v>21.754999999999999</c:v>
                </c:pt>
                <c:pt idx="1192">
                  <c:v>32.395000000000003</c:v>
                </c:pt>
                <c:pt idx="1193">
                  <c:v>36.575000000000003</c:v>
                </c:pt>
                <c:pt idx="1194">
                  <c:v>21.754999999999999</c:v>
                </c:pt>
                <c:pt idx="1195">
                  <c:v>27.93</c:v>
                </c:pt>
                <c:pt idx="1196">
                  <c:v>30.02</c:v>
                </c:pt>
                <c:pt idx="1197">
                  <c:v>33.549999999999997</c:v>
                </c:pt>
                <c:pt idx="1198">
                  <c:v>29.355</c:v>
                </c:pt>
                <c:pt idx="1199">
                  <c:v>25.8</c:v>
                </c:pt>
                <c:pt idx="1200">
                  <c:v>24.32</c:v>
                </c:pt>
                <c:pt idx="1201">
                  <c:v>40.375</c:v>
                </c:pt>
                <c:pt idx="1202">
                  <c:v>32.11</c:v>
                </c:pt>
                <c:pt idx="1203">
                  <c:v>32.299999999999997</c:v>
                </c:pt>
                <c:pt idx="1204">
                  <c:v>27.28</c:v>
                </c:pt>
                <c:pt idx="1205">
                  <c:v>17.86</c:v>
                </c:pt>
                <c:pt idx="1206">
                  <c:v>34.799999999999997</c:v>
                </c:pt>
                <c:pt idx="1207">
                  <c:v>33.4</c:v>
                </c:pt>
                <c:pt idx="1208">
                  <c:v>25.555</c:v>
                </c:pt>
                <c:pt idx="1209">
                  <c:v>37.1</c:v>
                </c:pt>
                <c:pt idx="1210">
                  <c:v>30.875</c:v>
                </c:pt>
                <c:pt idx="1211">
                  <c:v>34.1</c:v>
                </c:pt>
                <c:pt idx="1212">
                  <c:v>21.47</c:v>
                </c:pt>
                <c:pt idx="1213">
                  <c:v>33.299999999999997</c:v>
                </c:pt>
                <c:pt idx="1214">
                  <c:v>31.254999999999999</c:v>
                </c:pt>
                <c:pt idx="1215">
                  <c:v>39.14</c:v>
                </c:pt>
                <c:pt idx="1216">
                  <c:v>25.08</c:v>
                </c:pt>
                <c:pt idx="1217">
                  <c:v>37.29</c:v>
                </c:pt>
                <c:pt idx="1218">
                  <c:v>34.6</c:v>
                </c:pt>
                <c:pt idx="1219">
                  <c:v>30.21</c:v>
                </c:pt>
                <c:pt idx="1220">
                  <c:v>21.945</c:v>
                </c:pt>
                <c:pt idx="1221">
                  <c:v>24.97</c:v>
                </c:pt>
                <c:pt idx="1222">
                  <c:v>25.3</c:v>
                </c:pt>
                <c:pt idx="1223">
                  <c:v>24.42</c:v>
                </c:pt>
                <c:pt idx="1224">
                  <c:v>23.94</c:v>
                </c:pt>
                <c:pt idx="1225">
                  <c:v>39.82</c:v>
                </c:pt>
                <c:pt idx="1226">
                  <c:v>16.815000000000001</c:v>
                </c:pt>
                <c:pt idx="1227">
                  <c:v>37.18</c:v>
                </c:pt>
                <c:pt idx="1228">
                  <c:v>34.43</c:v>
                </c:pt>
                <c:pt idx="1229">
                  <c:v>30.305</c:v>
                </c:pt>
                <c:pt idx="1230">
                  <c:v>34.484999999999999</c:v>
                </c:pt>
                <c:pt idx="1231">
                  <c:v>21.8</c:v>
                </c:pt>
                <c:pt idx="1232">
                  <c:v>24.605</c:v>
                </c:pt>
                <c:pt idx="1233">
                  <c:v>23.3</c:v>
                </c:pt>
                <c:pt idx="1234">
                  <c:v>27.83</c:v>
                </c:pt>
                <c:pt idx="1235">
                  <c:v>31.065000000000001</c:v>
                </c:pt>
                <c:pt idx="1236">
                  <c:v>21.66</c:v>
                </c:pt>
                <c:pt idx="1237">
                  <c:v>28.215</c:v>
                </c:pt>
                <c:pt idx="1238">
                  <c:v>22.704999999999998</c:v>
                </c:pt>
                <c:pt idx="1239">
                  <c:v>42.13</c:v>
                </c:pt>
                <c:pt idx="1240">
                  <c:v>41.8</c:v>
                </c:pt>
                <c:pt idx="1241">
                  <c:v>36.96</c:v>
                </c:pt>
                <c:pt idx="1242">
                  <c:v>21.28</c:v>
                </c:pt>
                <c:pt idx="1243">
                  <c:v>33.11</c:v>
                </c:pt>
                <c:pt idx="1244">
                  <c:v>33.33</c:v>
                </c:pt>
                <c:pt idx="1245">
                  <c:v>24.3</c:v>
                </c:pt>
                <c:pt idx="1246">
                  <c:v>25.7</c:v>
                </c:pt>
                <c:pt idx="1247">
                  <c:v>29.4</c:v>
                </c:pt>
                <c:pt idx="1248">
                  <c:v>39.82</c:v>
                </c:pt>
                <c:pt idx="1249">
                  <c:v>33.630000000000003</c:v>
                </c:pt>
                <c:pt idx="1250">
                  <c:v>29.83</c:v>
                </c:pt>
                <c:pt idx="1251">
                  <c:v>19.8</c:v>
                </c:pt>
                <c:pt idx="1252">
                  <c:v>27.3</c:v>
                </c:pt>
                <c:pt idx="1253">
                  <c:v>29.3</c:v>
                </c:pt>
                <c:pt idx="1254">
                  <c:v>27.72</c:v>
                </c:pt>
                <c:pt idx="1255">
                  <c:v>37.9</c:v>
                </c:pt>
                <c:pt idx="1256">
                  <c:v>36.384999999999998</c:v>
                </c:pt>
                <c:pt idx="1257">
                  <c:v>27.645</c:v>
                </c:pt>
                <c:pt idx="1258">
                  <c:v>37.715000000000003</c:v>
                </c:pt>
                <c:pt idx="1259">
                  <c:v>23.18</c:v>
                </c:pt>
                <c:pt idx="1260">
                  <c:v>20.52</c:v>
                </c:pt>
                <c:pt idx="1261">
                  <c:v>37.1</c:v>
                </c:pt>
                <c:pt idx="1262">
                  <c:v>28.05</c:v>
                </c:pt>
                <c:pt idx="1263">
                  <c:v>29.9</c:v>
                </c:pt>
                <c:pt idx="1264">
                  <c:v>33.344999999999999</c:v>
                </c:pt>
                <c:pt idx="1265">
                  <c:v>23.76</c:v>
                </c:pt>
                <c:pt idx="1266">
                  <c:v>30.5</c:v>
                </c:pt>
                <c:pt idx="1267">
                  <c:v>31.065000000000001</c:v>
                </c:pt>
                <c:pt idx="1268">
                  <c:v>33.299999999999997</c:v>
                </c:pt>
                <c:pt idx="1269">
                  <c:v>27.5</c:v>
                </c:pt>
                <c:pt idx="1270">
                  <c:v>33.914999999999999</c:v>
                </c:pt>
                <c:pt idx="1271">
                  <c:v>34.484999999999999</c:v>
                </c:pt>
                <c:pt idx="1272">
                  <c:v>25.52</c:v>
                </c:pt>
                <c:pt idx="1273">
                  <c:v>27.61</c:v>
                </c:pt>
                <c:pt idx="1274">
                  <c:v>27.06</c:v>
                </c:pt>
                <c:pt idx="1275">
                  <c:v>23.7</c:v>
                </c:pt>
                <c:pt idx="1276">
                  <c:v>30.4</c:v>
                </c:pt>
                <c:pt idx="1277">
                  <c:v>29.734999999999999</c:v>
                </c:pt>
                <c:pt idx="1278">
                  <c:v>29.925000000000001</c:v>
                </c:pt>
                <c:pt idx="1279">
                  <c:v>26.79</c:v>
                </c:pt>
                <c:pt idx="1280">
                  <c:v>33.33</c:v>
                </c:pt>
                <c:pt idx="1281">
                  <c:v>27.645</c:v>
                </c:pt>
                <c:pt idx="1282">
                  <c:v>21.66</c:v>
                </c:pt>
                <c:pt idx="1283">
                  <c:v>30.03</c:v>
                </c:pt>
                <c:pt idx="1284">
                  <c:v>36.299999999999997</c:v>
                </c:pt>
                <c:pt idx="1285">
                  <c:v>24.32</c:v>
                </c:pt>
                <c:pt idx="1286">
                  <c:v>17.29</c:v>
                </c:pt>
                <c:pt idx="1287">
                  <c:v>25.9</c:v>
                </c:pt>
                <c:pt idx="1288">
                  <c:v>39.4</c:v>
                </c:pt>
                <c:pt idx="1289">
                  <c:v>34.32</c:v>
                </c:pt>
                <c:pt idx="1290">
                  <c:v>19.95</c:v>
                </c:pt>
                <c:pt idx="1291">
                  <c:v>34.9</c:v>
                </c:pt>
                <c:pt idx="1292">
                  <c:v>23.21</c:v>
                </c:pt>
                <c:pt idx="1293">
                  <c:v>25.745000000000001</c:v>
                </c:pt>
                <c:pt idx="1294">
                  <c:v>25.175000000000001</c:v>
                </c:pt>
                <c:pt idx="1295">
                  <c:v>22</c:v>
                </c:pt>
                <c:pt idx="1296">
                  <c:v>26.125</c:v>
                </c:pt>
                <c:pt idx="1297">
                  <c:v>26.51</c:v>
                </c:pt>
                <c:pt idx="1298">
                  <c:v>27.454999999999998</c:v>
                </c:pt>
                <c:pt idx="1299">
                  <c:v>25.745000000000001</c:v>
                </c:pt>
                <c:pt idx="1300">
                  <c:v>30.36</c:v>
                </c:pt>
                <c:pt idx="1301">
                  <c:v>30.875</c:v>
                </c:pt>
                <c:pt idx="1302">
                  <c:v>20.8</c:v>
                </c:pt>
                <c:pt idx="1303">
                  <c:v>27.8</c:v>
                </c:pt>
                <c:pt idx="1304">
                  <c:v>24.605</c:v>
                </c:pt>
                <c:pt idx="1305">
                  <c:v>27.72</c:v>
                </c:pt>
                <c:pt idx="1306">
                  <c:v>21.85</c:v>
                </c:pt>
                <c:pt idx="1307">
                  <c:v>28.12</c:v>
                </c:pt>
                <c:pt idx="1308">
                  <c:v>30.2</c:v>
                </c:pt>
                <c:pt idx="1309">
                  <c:v>32.200000000000003</c:v>
                </c:pt>
                <c:pt idx="1310">
                  <c:v>26.315000000000001</c:v>
                </c:pt>
                <c:pt idx="1311">
                  <c:v>26.695</c:v>
                </c:pt>
                <c:pt idx="1312">
                  <c:v>42.9</c:v>
                </c:pt>
                <c:pt idx="1313">
                  <c:v>34.700000000000003</c:v>
                </c:pt>
                <c:pt idx="1314">
                  <c:v>23.655000000000001</c:v>
                </c:pt>
                <c:pt idx="1315">
                  <c:v>28.31</c:v>
                </c:pt>
                <c:pt idx="1316">
                  <c:v>20.6</c:v>
                </c:pt>
                <c:pt idx="1317">
                  <c:v>53.13</c:v>
                </c:pt>
                <c:pt idx="1318">
                  <c:v>39.71</c:v>
                </c:pt>
                <c:pt idx="1319">
                  <c:v>26.315000000000001</c:v>
                </c:pt>
                <c:pt idx="1320">
                  <c:v>31.065000000000001</c:v>
                </c:pt>
                <c:pt idx="1321">
                  <c:v>26.695</c:v>
                </c:pt>
                <c:pt idx="1322">
                  <c:v>38.83</c:v>
                </c:pt>
                <c:pt idx="1323">
                  <c:v>40.369999999999997</c:v>
                </c:pt>
                <c:pt idx="1324">
                  <c:v>25.934999999999999</c:v>
                </c:pt>
                <c:pt idx="1325">
                  <c:v>33.534999999999997</c:v>
                </c:pt>
                <c:pt idx="1326">
                  <c:v>32.869999999999997</c:v>
                </c:pt>
                <c:pt idx="1327">
                  <c:v>30.03</c:v>
                </c:pt>
                <c:pt idx="1328">
                  <c:v>24.225000000000001</c:v>
                </c:pt>
                <c:pt idx="1329">
                  <c:v>38.6</c:v>
                </c:pt>
                <c:pt idx="1330">
                  <c:v>25.74</c:v>
                </c:pt>
                <c:pt idx="1331">
                  <c:v>33.4</c:v>
                </c:pt>
                <c:pt idx="1332">
                  <c:v>44.7</c:v>
                </c:pt>
                <c:pt idx="1333">
                  <c:v>30.97</c:v>
                </c:pt>
                <c:pt idx="1334">
                  <c:v>31.92</c:v>
                </c:pt>
                <c:pt idx="1335">
                  <c:v>36.85</c:v>
                </c:pt>
                <c:pt idx="1336">
                  <c:v>25.8</c:v>
                </c:pt>
                <c:pt idx="1337">
                  <c:v>29.07</c:v>
                </c:pt>
              </c:numCache>
            </c:numRef>
          </c:xVal>
          <c:yVal>
            <c:numRef>
              <c:f>insurance!$G$2:$G$1339</c:f>
              <c:numCache>
                <c:formatCode>General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71-0546-9387-A54C5028E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775503"/>
        <c:axId val="2076777231"/>
      </c:scatterChart>
      <c:valAx>
        <c:axId val="2076775503"/>
        <c:scaling>
          <c:orientation val="minMax"/>
        </c:scaling>
        <c:delete val="0"/>
        <c:axPos val="b"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76777231"/>
        <c:crosses val="autoZero"/>
        <c:crossBetween val="midCat"/>
      </c:valAx>
      <c:valAx>
        <c:axId val="2076777231"/>
        <c:scaling>
          <c:orientation val="minMax"/>
        </c:scaling>
        <c:delete val="0"/>
        <c:axPos val="l"/>
        <c:majorGridlines>
          <c:spPr>
            <a:ln>
              <a:solidFill>
                <a:srgbClr val="EEEEFF"/>
              </a:solidFill>
            </a:ln>
          </c:spPr>
        </c:majorGridlines>
        <c:numFmt formatCode="0.000" sourceLinked="0"/>
        <c:majorTickMark val="out"/>
        <c:minorTickMark val="none"/>
        <c:tickLblPos val="nextTo"/>
        <c:crossAx val="207677550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/>
            </a:pPr>
            <a:r>
              <a:rPr lang="en-GB" sz="1000" b="0"/>
              <a:t>charges vs children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3"/>
            <c:spPr>
              <a:ln/>
            </c:spPr>
          </c:marker>
          <c:xVal>
            <c:numRef>
              <c:f>insurance!$D$2:$D$1339</c:f>
              <c:numCache>
                <c:formatCode>General</c:formatCode>
                <c:ptCount val="133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3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0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5</c:v>
                </c:pt>
                <c:pt idx="72">
                  <c:v>3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4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2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2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3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2</c:v>
                </c:pt>
                <c:pt idx="164">
                  <c:v>0</c:v>
                </c:pt>
                <c:pt idx="165">
                  <c:v>4</c:v>
                </c:pt>
                <c:pt idx="166">
                  <c:v>5</c:v>
                </c:pt>
                <c:pt idx="167">
                  <c:v>3</c:v>
                </c:pt>
                <c:pt idx="168">
                  <c:v>1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3</c:v>
                </c:pt>
                <c:pt idx="183">
                  <c:v>0</c:v>
                </c:pt>
                <c:pt idx="184">
                  <c:v>2</c:v>
                </c:pt>
                <c:pt idx="185">
                  <c:v>3</c:v>
                </c:pt>
                <c:pt idx="186">
                  <c:v>2</c:v>
                </c:pt>
                <c:pt idx="187">
                  <c:v>3</c:v>
                </c:pt>
                <c:pt idx="188">
                  <c:v>1</c:v>
                </c:pt>
                <c:pt idx="189">
                  <c:v>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2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4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3</c:v>
                </c:pt>
                <c:pt idx="223">
                  <c:v>0</c:v>
                </c:pt>
                <c:pt idx="224">
                  <c:v>0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0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0</c:v>
                </c:pt>
                <c:pt idx="237">
                  <c:v>2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3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3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3</c:v>
                </c:pt>
                <c:pt idx="263">
                  <c:v>0</c:v>
                </c:pt>
                <c:pt idx="264">
                  <c:v>3</c:v>
                </c:pt>
                <c:pt idx="265">
                  <c:v>3</c:v>
                </c:pt>
                <c:pt idx="266">
                  <c:v>1</c:v>
                </c:pt>
                <c:pt idx="267">
                  <c:v>3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2</c:v>
                </c:pt>
                <c:pt idx="277">
                  <c:v>0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3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3</c:v>
                </c:pt>
                <c:pt idx="290">
                  <c:v>0</c:v>
                </c:pt>
                <c:pt idx="291">
                  <c:v>1</c:v>
                </c:pt>
                <c:pt idx="292">
                  <c:v>2</c:v>
                </c:pt>
                <c:pt idx="293">
                  <c:v>0</c:v>
                </c:pt>
                <c:pt idx="294">
                  <c:v>3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</c:v>
                </c:pt>
                <c:pt idx="345">
                  <c:v>3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</c:v>
                </c:pt>
                <c:pt idx="357">
                  <c:v>3</c:v>
                </c:pt>
                <c:pt idx="358">
                  <c:v>0</c:v>
                </c:pt>
                <c:pt idx="359">
                  <c:v>0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2</c:v>
                </c:pt>
                <c:pt idx="369">
                  <c:v>3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2</c:v>
                </c:pt>
                <c:pt idx="374">
                  <c:v>0</c:v>
                </c:pt>
                <c:pt idx="375">
                  <c:v>0</c:v>
                </c:pt>
                <c:pt idx="376">
                  <c:v>3</c:v>
                </c:pt>
                <c:pt idx="377">
                  <c:v>0</c:v>
                </c:pt>
                <c:pt idx="378">
                  <c:v>3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2</c:v>
                </c:pt>
                <c:pt idx="384">
                  <c:v>2</c:v>
                </c:pt>
                <c:pt idx="385">
                  <c:v>0</c:v>
                </c:pt>
                <c:pt idx="386">
                  <c:v>0</c:v>
                </c:pt>
                <c:pt idx="387">
                  <c:v>2</c:v>
                </c:pt>
                <c:pt idx="388">
                  <c:v>0</c:v>
                </c:pt>
                <c:pt idx="389">
                  <c:v>3</c:v>
                </c:pt>
                <c:pt idx="390">
                  <c:v>4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2</c:v>
                </c:pt>
                <c:pt idx="395">
                  <c:v>0</c:v>
                </c:pt>
                <c:pt idx="396">
                  <c:v>3</c:v>
                </c:pt>
                <c:pt idx="397">
                  <c:v>0</c:v>
                </c:pt>
                <c:pt idx="398">
                  <c:v>2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3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1</c:v>
                </c:pt>
                <c:pt idx="408">
                  <c:v>3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2</c:v>
                </c:pt>
                <c:pt idx="413">
                  <c:v>5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2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2</c:v>
                </c:pt>
                <c:pt idx="425">
                  <c:v>5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3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3</c:v>
                </c:pt>
                <c:pt idx="438">
                  <c:v>5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4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2</c:v>
                </c:pt>
                <c:pt idx="457">
                  <c:v>0</c:v>
                </c:pt>
                <c:pt idx="458">
                  <c:v>0</c:v>
                </c:pt>
                <c:pt idx="459">
                  <c:v>3</c:v>
                </c:pt>
                <c:pt idx="460">
                  <c:v>3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3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</c:v>
                </c:pt>
                <c:pt idx="481">
                  <c:v>2</c:v>
                </c:pt>
                <c:pt idx="482">
                  <c:v>0</c:v>
                </c:pt>
                <c:pt idx="483">
                  <c:v>1</c:v>
                </c:pt>
                <c:pt idx="484">
                  <c:v>3</c:v>
                </c:pt>
                <c:pt idx="485">
                  <c:v>0</c:v>
                </c:pt>
                <c:pt idx="486">
                  <c:v>3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</c:v>
                </c:pt>
                <c:pt idx="495">
                  <c:v>0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1</c:v>
                </c:pt>
                <c:pt idx="505">
                  <c:v>3</c:v>
                </c:pt>
                <c:pt idx="506">
                  <c:v>1</c:v>
                </c:pt>
                <c:pt idx="507">
                  <c:v>2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2</c:v>
                </c:pt>
                <c:pt idx="527">
                  <c:v>1</c:v>
                </c:pt>
                <c:pt idx="528">
                  <c:v>1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2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0</c:v>
                </c:pt>
                <c:pt idx="540">
                  <c:v>3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2</c:v>
                </c:pt>
                <c:pt idx="546">
                  <c:v>0</c:v>
                </c:pt>
                <c:pt idx="547">
                  <c:v>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1</c:v>
                </c:pt>
                <c:pt idx="557">
                  <c:v>0</c:v>
                </c:pt>
                <c:pt idx="558">
                  <c:v>3</c:v>
                </c:pt>
                <c:pt idx="559">
                  <c:v>0</c:v>
                </c:pt>
                <c:pt idx="560">
                  <c:v>2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2</c:v>
                </c:pt>
                <c:pt idx="565">
                  <c:v>0</c:v>
                </c:pt>
                <c:pt idx="566">
                  <c:v>1</c:v>
                </c:pt>
                <c:pt idx="567">
                  <c:v>2</c:v>
                </c:pt>
                <c:pt idx="568">
                  <c:v>5</c:v>
                </c:pt>
                <c:pt idx="569">
                  <c:v>2</c:v>
                </c:pt>
                <c:pt idx="570">
                  <c:v>0</c:v>
                </c:pt>
                <c:pt idx="571">
                  <c:v>1</c:v>
                </c:pt>
                <c:pt idx="572">
                  <c:v>2</c:v>
                </c:pt>
                <c:pt idx="573">
                  <c:v>1</c:v>
                </c:pt>
                <c:pt idx="574">
                  <c:v>2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3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2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2</c:v>
                </c:pt>
                <c:pt idx="612">
                  <c:v>0</c:v>
                </c:pt>
                <c:pt idx="613">
                  <c:v>3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3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2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2</c:v>
                </c:pt>
                <c:pt idx="638">
                  <c:v>0</c:v>
                </c:pt>
                <c:pt idx="639">
                  <c:v>4</c:v>
                </c:pt>
                <c:pt idx="640">
                  <c:v>5</c:v>
                </c:pt>
                <c:pt idx="641">
                  <c:v>3</c:v>
                </c:pt>
                <c:pt idx="642">
                  <c:v>0</c:v>
                </c:pt>
                <c:pt idx="643">
                  <c:v>3</c:v>
                </c:pt>
                <c:pt idx="644">
                  <c:v>2</c:v>
                </c:pt>
                <c:pt idx="645">
                  <c:v>3</c:v>
                </c:pt>
                <c:pt idx="646">
                  <c:v>1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2</c:v>
                </c:pt>
                <c:pt idx="651">
                  <c:v>1</c:v>
                </c:pt>
                <c:pt idx="652">
                  <c:v>0</c:v>
                </c:pt>
                <c:pt idx="653">
                  <c:v>2</c:v>
                </c:pt>
                <c:pt idx="654">
                  <c:v>0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1</c:v>
                </c:pt>
                <c:pt idx="659">
                  <c:v>4</c:v>
                </c:pt>
                <c:pt idx="660">
                  <c:v>3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0</c:v>
                </c:pt>
                <c:pt idx="669">
                  <c:v>1</c:v>
                </c:pt>
                <c:pt idx="670">
                  <c:v>3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2</c:v>
                </c:pt>
                <c:pt idx="680">
                  <c:v>1</c:v>
                </c:pt>
                <c:pt idx="681">
                  <c:v>0</c:v>
                </c:pt>
                <c:pt idx="682">
                  <c:v>2</c:v>
                </c:pt>
                <c:pt idx="683">
                  <c:v>0</c:v>
                </c:pt>
                <c:pt idx="684">
                  <c:v>1</c:v>
                </c:pt>
                <c:pt idx="685">
                  <c:v>2</c:v>
                </c:pt>
                <c:pt idx="686">
                  <c:v>2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2</c:v>
                </c:pt>
                <c:pt idx="697">
                  <c:v>1</c:v>
                </c:pt>
                <c:pt idx="698">
                  <c:v>0</c:v>
                </c:pt>
                <c:pt idx="699">
                  <c:v>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0</c:v>
                </c:pt>
                <c:pt idx="707">
                  <c:v>3</c:v>
                </c:pt>
                <c:pt idx="708">
                  <c:v>3</c:v>
                </c:pt>
                <c:pt idx="709">
                  <c:v>0</c:v>
                </c:pt>
                <c:pt idx="710">
                  <c:v>1</c:v>
                </c:pt>
                <c:pt idx="711">
                  <c:v>2</c:v>
                </c:pt>
                <c:pt idx="712">
                  <c:v>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2</c:v>
                </c:pt>
                <c:pt idx="719">
                  <c:v>0</c:v>
                </c:pt>
                <c:pt idx="720">
                  <c:v>0</c:v>
                </c:pt>
                <c:pt idx="721">
                  <c:v>3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3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3</c:v>
                </c:pt>
                <c:pt idx="731">
                  <c:v>1</c:v>
                </c:pt>
                <c:pt idx="732">
                  <c:v>3</c:v>
                </c:pt>
                <c:pt idx="733">
                  <c:v>1</c:v>
                </c:pt>
                <c:pt idx="734">
                  <c:v>3</c:v>
                </c:pt>
                <c:pt idx="735">
                  <c:v>1</c:v>
                </c:pt>
                <c:pt idx="736">
                  <c:v>0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2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4</c:v>
                </c:pt>
                <c:pt idx="755">
                  <c:v>2</c:v>
                </c:pt>
                <c:pt idx="756">
                  <c:v>3</c:v>
                </c:pt>
                <c:pt idx="757">
                  <c:v>0</c:v>
                </c:pt>
                <c:pt idx="758">
                  <c:v>3</c:v>
                </c:pt>
                <c:pt idx="759">
                  <c:v>0</c:v>
                </c:pt>
                <c:pt idx="760">
                  <c:v>2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2</c:v>
                </c:pt>
                <c:pt idx="770">
                  <c:v>3</c:v>
                </c:pt>
                <c:pt idx="771">
                  <c:v>2</c:v>
                </c:pt>
                <c:pt idx="772">
                  <c:v>0</c:v>
                </c:pt>
                <c:pt idx="773">
                  <c:v>0</c:v>
                </c:pt>
                <c:pt idx="774">
                  <c:v>2</c:v>
                </c:pt>
                <c:pt idx="775">
                  <c:v>3</c:v>
                </c:pt>
                <c:pt idx="776">
                  <c:v>2</c:v>
                </c:pt>
                <c:pt idx="777">
                  <c:v>0</c:v>
                </c:pt>
                <c:pt idx="778">
                  <c:v>3</c:v>
                </c:pt>
                <c:pt idx="779">
                  <c:v>0</c:v>
                </c:pt>
                <c:pt idx="780">
                  <c:v>3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0</c:v>
                </c:pt>
                <c:pt idx="788">
                  <c:v>3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2</c:v>
                </c:pt>
                <c:pt idx="797">
                  <c:v>1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3</c:v>
                </c:pt>
                <c:pt idx="811">
                  <c:v>3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0</c:v>
                </c:pt>
                <c:pt idx="817">
                  <c:v>3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3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0</c:v>
                </c:pt>
                <c:pt idx="834">
                  <c:v>1</c:v>
                </c:pt>
                <c:pt idx="835">
                  <c:v>2</c:v>
                </c:pt>
                <c:pt idx="836">
                  <c:v>0</c:v>
                </c:pt>
                <c:pt idx="837">
                  <c:v>0</c:v>
                </c:pt>
                <c:pt idx="838">
                  <c:v>2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2</c:v>
                </c:pt>
                <c:pt idx="854">
                  <c:v>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2</c:v>
                </c:pt>
                <c:pt idx="861">
                  <c:v>3</c:v>
                </c:pt>
                <c:pt idx="862">
                  <c:v>2</c:v>
                </c:pt>
                <c:pt idx="863">
                  <c:v>0</c:v>
                </c:pt>
                <c:pt idx="864">
                  <c:v>0</c:v>
                </c:pt>
                <c:pt idx="865">
                  <c:v>2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3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3</c:v>
                </c:pt>
                <c:pt idx="875">
                  <c:v>0</c:v>
                </c:pt>
                <c:pt idx="876">
                  <c:v>1</c:v>
                </c:pt>
                <c:pt idx="877">
                  <c:v>5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1</c:v>
                </c:pt>
                <c:pt idx="882">
                  <c:v>0</c:v>
                </c:pt>
                <c:pt idx="883">
                  <c:v>3</c:v>
                </c:pt>
                <c:pt idx="884">
                  <c:v>4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4</c:v>
                </c:pt>
                <c:pt idx="892">
                  <c:v>0</c:v>
                </c:pt>
                <c:pt idx="893">
                  <c:v>2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2</c:v>
                </c:pt>
                <c:pt idx="906">
                  <c:v>3</c:v>
                </c:pt>
                <c:pt idx="907">
                  <c:v>1</c:v>
                </c:pt>
                <c:pt idx="908">
                  <c:v>3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3</c:v>
                </c:pt>
                <c:pt idx="913">
                  <c:v>1</c:v>
                </c:pt>
                <c:pt idx="914">
                  <c:v>2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2</c:v>
                </c:pt>
                <c:pt idx="926">
                  <c:v>2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5</c:v>
                </c:pt>
                <c:pt idx="933">
                  <c:v>0</c:v>
                </c:pt>
                <c:pt idx="934">
                  <c:v>2</c:v>
                </c:pt>
                <c:pt idx="935">
                  <c:v>0</c:v>
                </c:pt>
                <c:pt idx="936">
                  <c:v>2</c:v>
                </c:pt>
                <c:pt idx="937">
                  <c:v>5</c:v>
                </c:pt>
                <c:pt idx="938">
                  <c:v>2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2</c:v>
                </c:pt>
                <c:pt idx="947">
                  <c:v>1</c:v>
                </c:pt>
                <c:pt idx="948">
                  <c:v>0</c:v>
                </c:pt>
                <c:pt idx="949">
                  <c:v>3</c:v>
                </c:pt>
                <c:pt idx="950">
                  <c:v>0</c:v>
                </c:pt>
                <c:pt idx="951">
                  <c:v>2</c:v>
                </c:pt>
                <c:pt idx="952">
                  <c:v>1</c:v>
                </c:pt>
                <c:pt idx="953">
                  <c:v>2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1</c:v>
                </c:pt>
                <c:pt idx="963">
                  <c:v>3</c:v>
                </c:pt>
                <c:pt idx="964">
                  <c:v>2</c:v>
                </c:pt>
                <c:pt idx="965">
                  <c:v>1</c:v>
                </c:pt>
                <c:pt idx="966">
                  <c:v>2</c:v>
                </c:pt>
                <c:pt idx="967">
                  <c:v>1</c:v>
                </c:pt>
                <c:pt idx="968">
                  <c:v>2</c:v>
                </c:pt>
                <c:pt idx="969">
                  <c:v>5</c:v>
                </c:pt>
                <c:pt idx="970">
                  <c:v>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3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3</c:v>
                </c:pt>
                <c:pt idx="983">
                  <c:v>1</c:v>
                </c:pt>
                <c:pt idx="984">
                  <c:v>5</c:v>
                </c:pt>
                <c:pt idx="985">
                  <c:v>1</c:v>
                </c:pt>
                <c:pt idx="986">
                  <c:v>3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2</c:v>
                </c:pt>
                <c:pt idx="992">
                  <c:v>2</c:v>
                </c:pt>
                <c:pt idx="993">
                  <c:v>1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0</c:v>
                </c:pt>
                <c:pt idx="998">
                  <c:v>3</c:v>
                </c:pt>
                <c:pt idx="999">
                  <c:v>0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</c:v>
                </c:pt>
                <c:pt idx="1005">
                  <c:v>2</c:v>
                </c:pt>
                <c:pt idx="1006">
                  <c:v>2</c:v>
                </c:pt>
                <c:pt idx="1007">
                  <c:v>3</c:v>
                </c:pt>
                <c:pt idx="1008">
                  <c:v>2</c:v>
                </c:pt>
                <c:pt idx="1009">
                  <c:v>1</c:v>
                </c:pt>
                <c:pt idx="1010">
                  <c:v>0</c:v>
                </c:pt>
                <c:pt idx="1011">
                  <c:v>2</c:v>
                </c:pt>
                <c:pt idx="1012">
                  <c:v>4</c:v>
                </c:pt>
                <c:pt idx="1013">
                  <c:v>1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2</c:v>
                </c:pt>
                <c:pt idx="1018">
                  <c:v>3</c:v>
                </c:pt>
                <c:pt idx="1019">
                  <c:v>2</c:v>
                </c:pt>
                <c:pt idx="1020">
                  <c:v>0</c:v>
                </c:pt>
                <c:pt idx="1021">
                  <c:v>3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0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2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3</c:v>
                </c:pt>
                <c:pt idx="1036">
                  <c:v>2</c:v>
                </c:pt>
                <c:pt idx="1037">
                  <c:v>1</c:v>
                </c:pt>
                <c:pt idx="1038">
                  <c:v>0</c:v>
                </c:pt>
                <c:pt idx="1039">
                  <c:v>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2</c:v>
                </c:pt>
                <c:pt idx="1046">
                  <c:v>0</c:v>
                </c:pt>
                <c:pt idx="1047">
                  <c:v>1</c:v>
                </c:pt>
                <c:pt idx="1048">
                  <c:v>1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1</c:v>
                </c:pt>
                <c:pt idx="1053">
                  <c:v>3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1</c:v>
                </c:pt>
                <c:pt idx="1063">
                  <c:v>3</c:v>
                </c:pt>
                <c:pt idx="1064">
                  <c:v>4</c:v>
                </c:pt>
                <c:pt idx="1065">
                  <c:v>1</c:v>
                </c:pt>
                <c:pt idx="1066">
                  <c:v>2</c:v>
                </c:pt>
                <c:pt idx="1067">
                  <c:v>0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1</c:v>
                </c:pt>
                <c:pt idx="1077">
                  <c:v>0</c:v>
                </c:pt>
                <c:pt idx="1078">
                  <c:v>0</c:v>
                </c:pt>
                <c:pt idx="1079">
                  <c:v>3</c:v>
                </c:pt>
                <c:pt idx="1080">
                  <c:v>2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2</c:v>
                </c:pt>
                <c:pt idx="1085">
                  <c:v>5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3</c:v>
                </c:pt>
                <c:pt idx="1093">
                  <c:v>0</c:v>
                </c:pt>
                <c:pt idx="1094">
                  <c:v>4</c:v>
                </c:pt>
                <c:pt idx="1095">
                  <c:v>4</c:v>
                </c:pt>
                <c:pt idx="1096">
                  <c:v>2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2</c:v>
                </c:pt>
                <c:pt idx="1101">
                  <c:v>3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2</c:v>
                </c:pt>
                <c:pt idx="1108">
                  <c:v>1</c:v>
                </c:pt>
                <c:pt idx="1109">
                  <c:v>3</c:v>
                </c:pt>
                <c:pt idx="1110">
                  <c:v>1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0</c:v>
                </c:pt>
                <c:pt idx="1115">
                  <c:v>1</c:v>
                </c:pt>
                <c:pt idx="1116">
                  <c:v>5</c:v>
                </c:pt>
                <c:pt idx="1117">
                  <c:v>2</c:v>
                </c:pt>
                <c:pt idx="1118">
                  <c:v>1</c:v>
                </c:pt>
                <c:pt idx="1119">
                  <c:v>3</c:v>
                </c:pt>
                <c:pt idx="1120">
                  <c:v>0</c:v>
                </c:pt>
                <c:pt idx="1121">
                  <c:v>2</c:v>
                </c:pt>
                <c:pt idx="1122">
                  <c:v>3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2</c:v>
                </c:pt>
                <c:pt idx="1128">
                  <c:v>1</c:v>
                </c:pt>
                <c:pt idx="1129">
                  <c:v>0</c:v>
                </c:pt>
                <c:pt idx="1130">
                  <c:v>5</c:v>
                </c:pt>
                <c:pt idx="1131">
                  <c:v>2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1</c:v>
                </c:pt>
                <c:pt idx="1141">
                  <c:v>3</c:v>
                </c:pt>
                <c:pt idx="1142">
                  <c:v>0</c:v>
                </c:pt>
                <c:pt idx="1143">
                  <c:v>2</c:v>
                </c:pt>
                <c:pt idx="1144">
                  <c:v>2</c:v>
                </c:pt>
                <c:pt idx="1145">
                  <c:v>3</c:v>
                </c:pt>
                <c:pt idx="1146">
                  <c:v>0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3</c:v>
                </c:pt>
                <c:pt idx="1153">
                  <c:v>1</c:v>
                </c:pt>
                <c:pt idx="1154">
                  <c:v>4</c:v>
                </c:pt>
                <c:pt idx="1155">
                  <c:v>3</c:v>
                </c:pt>
                <c:pt idx="1156">
                  <c:v>0</c:v>
                </c:pt>
                <c:pt idx="1157">
                  <c:v>2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2</c:v>
                </c:pt>
                <c:pt idx="1162">
                  <c:v>1</c:v>
                </c:pt>
                <c:pt idx="1163">
                  <c:v>0</c:v>
                </c:pt>
                <c:pt idx="1164">
                  <c:v>1</c:v>
                </c:pt>
                <c:pt idx="1165">
                  <c:v>0</c:v>
                </c:pt>
                <c:pt idx="1166">
                  <c:v>0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1</c:v>
                </c:pt>
                <c:pt idx="1171">
                  <c:v>2</c:v>
                </c:pt>
                <c:pt idx="1172">
                  <c:v>0</c:v>
                </c:pt>
                <c:pt idx="1173">
                  <c:v>2</c:v>
                </c:pt>
                <c:pt idx="1174">
                  <c:v>2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1</c:v>
                </c:pt>
                <c:pt idx="1185">
                  <c:v>2</c:v>
                </c:pt>
                <c:pt idx="1186">
                  <c:v>3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2</c:v>
                </c:pt>
                <c:pt idx="1191">
                  <c:v>1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3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0</c:v>
                </c:pt>
                <c:pt idx="1203">
                  <c:v>1</c:v>
                </c:pt>
                <c:pt idx="1204">
                  <c:v>3</c:v>
                </c:pt>
                <c:pt idx="1205">
                  <c:v>1</c:v>
                </c:pt>
                <c:pt idx="1206">
                  <c:v>2</c:v>
                </c:pt>
                <c:pt idx="1207">
                  <c:v>2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2</c:v>
                </c:pt>
                <c:pt idx="1212">
                  <c:v>0</c:v>
                </c:pt>
                <c:pt idx="1213">
                  <c:v>2</c:v>
                </c:pt>
                <c:pt idx="1214">
                  <c:v>1</c:v>
                </c:pt>
                <c:pt idx="1215">
                  <c:v>0</c:v>
                </c:pt>
                <c:pt idx="1216">
                  <c:v>0</c:v>
                </c:pt>
                <c:pt idx="1217">
                  <c:v>2</c:v>
                </c:pt>
                <c:pt idx="1218">
                  <c:v>1</c:v>
                </c:pt>
                <c:pt idx="1219">
                  <c:v>3</c:v>
                </c:pt>
                <c:pt idx="1220">
                  <c:v>1</c:v>
                </c:pt>
                <c:pt idx="1221">
                  <c:v>2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2</c:v>
                </c:pt>
                <c:pt idx="1227">
                  <c:v>2</c:v>
                </c:pt>
                <c:pt idx="1228">
                  <c:v>0</c:v>
                </c:pt>
                <c:pt idx="1229">
                  <c:v>0</c:v>
                </c:pt>
                <c:pt idx="1230">
                  <c:v>3</c:v>
                </c:pt>
                <c:pt idx="1231">
                  <c:v>0</c:v>
                </c:pt>
                <c:pt idx="1232">
                  <c:v>3</c:v>
                </c:pt>
                <c:pt idx="1233">
                  <c:v>0</c:v>
                </c:pt>
                <c:pt idx="1234">
                  <c:v>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3</c:v>
                </c:pt>
                <c:pt idx="1239">
                  <c:v>1</c:v>
                </c:pt>
                <c:pt idx="1240">
                  <c:v>2</c:v>
                </c:pt>
                <c:pt idx="1241">
                  <c:v>2</c:v>
                </c:pt>
                <c:pt idx="1242">
                  <c:v>3</c:v>
                </c:pt>
                <c:pt idx="1243">
                  <c:v>0</c:v>
                </c:pt>
                <c:pt idx="1244">
                  <c:v>0</c:v>
                </c:pt>
                <c:pt idx="1245">
                  <c:v>5</c:v>
                </c:pt>
                <c:pt idx="1246">
                  <c:v>3</c:v>
                </c:pt>
                <c:pt idx="1247">
                  <c:v>4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4</c:v>
                </c:pt>
                <c:pt idx="1254">
                  <c:v>0</c:v>
                </c:pt>
                <c:pt idx="1255">
                  <c:v>0</c:v>
                </c:pt>
                <c:pt idx="1256">
                  <c:v>3</c:v>
                </c:pt>
                <c:pt idx="1257">
                  <c:v>1</c:v>
                </c:pt>
                <c:pt idx="1258">
                  <c:v>3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2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</c:v>
                </c:pt>
                <c:pt idx="1270">
                  <c:v>1</c:v>
                </c:pt>
                <c:pt idx="1271">
                  <c:v>0</c:v>
                </c:pt>
                <c:pt idx="1272">
                  <c:v>5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2</c:v>
                </c:pt>
                <c:pt idx="1280">
                  <c:v>0</c:v>
                </c:pt>
                <c:pt idx="1281">
                  <c:v>2</c:v>
                </c:pt>
                <c:pt idx="1282">
                  <c:v>0</c:v>
                </c:pt>
                <c:pt idx="1283">
                  <c:v>1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2</c:v>
                </c:pt>
                <c:pt idx="1289">
                  <c:v>1</c:v>
                </c:pt>
                <c:pt idx="1290">
                  <c:v>2</c:v>
                </c:pt>
                <c:pt idx="1291">
                  <c:v>0</c:v>
                </c:pt>
                <c:pt idx="1292">
                  <c:v>0</c:v>
                </c:pt>
                <c:pt idx="1293">
                  <c:v>3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2</c:v>
                </c:pt>
                <c:pt idx="1298">
                  <c:v>2</c:v>
                </c:pt>
                <c:pt idx="1299">
                  <c:v>1</c:v>
                </c:pt>
                <c:pt idx="1300">
                  <c:v>0</c:v>
                </c:pt>
                <c:pt idx="1301">
                  <c:v>3</c:v>
                </c:pt>
                <c:pt idx="1302">
                  <c:v>1</c:v>
                </c:pt>
                <c:pt idx="1303">
                  <c:v>0</c:v>
                </c:pt>
                <c:pt idx="1304">
                  <c:v>2</c:v>
                </c:pt>
                <c:pt idx="1305">
                  <c:v>0</c:v>
                </c:pt>
                <c:pt idx="1306">
                  <c:v>0</c:v>
                </c:pt>
                <c:pt idx="1307">
                  <c:v>4</c:v>
                </c:pt>
                <c:pt idx="1308">
                  <c:v>0</c:v>
                </c:pt>
                <c:pt idx="1309">
                  <c:v>2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3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4</c:v>
                </c:pt>
                <c:pt idx="1319">
                  <c:v>2</c:v>
                </c:pt>
                <c:pt idx="1320">
                  <c:v>3</c:v>
                </c:pt>
                <c:pt idx="1321">
                  <c:v>0</c:v>
                </c:pt>
                <c:pt idx="1322">
                  <c:v>0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0</c:v>
                </c:pt>
                <c:pt idx="1332">
                  <c:v>3</c:v>
                </c:pt>
                <c:pt idx="1333">
                  <c:v>3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</c:numCache>
            </c:numRef>
          </c:xVal>
          <c:yVal>
            <c:numRef>
              <c:f>insurance!$G$2:$G$1339</c:f>
              <c:numCache>
                <c:formatCode>General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99-BB4C-AEE3-E062696E5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805663"/>
        <c:axId val="2076807391"/>
      </c:scatterChart>
      <c:valAx>
        <c:axId val="2076805663"/>
        <c:scaling>
          <c:orientation val="minMax"/>
        </c:scaling>
        <c:delete val="0"/>
        <c:axPos val="b"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76807391"/>
        <c:crosses val="autoZero"/>
        <c:crossBetween val="midCat"/>
      </c:valAx>
      <c:valAx>
        <c:axId val="2076807391"/>
        <c:scaling>
          <c:orientation val="minMax"/>
        </c:scaling>
        <c:delete val="0"/>
        <c:axPos val="l"/>
        <c:majorGridlines>
          <c:spPr>
            <a:ln>
              <a:solidFill>
                <a:srgbClr val="EEEEFF"/>
              </a:solidFill>
            </a:ln>
          </c:spPr>
        </c:majorGridlines>
        <c:numFmt formatCode="0.000" sourceLinked="0"/>
        <c:majorTickMark val="out"/>
        <c:minorTickMark val="none"/>
        <c:tickLblPos val="nextTo"/>
        <c:crossAx val="207680566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/>
            </a:pPr>
            <a:r>
              <a:rPr lang="en-GB" sz="1000" b="0"/>
              <a:t>charges vs charges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3"/>
            <c:spPr>
              <a:ln/>
            </c:spPr>
          </c:marker>
          <c:xVal>
            <c:numRef>
              <c:f>insurance!$G$2:$G$1339</c:f>
              <c:numCache>
                <c:formatCode>General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xVal>
          <c:yVal>
            <c:numRef>
              <c:f>insurance!$G$2:$G$1339</c:f>
              <c:numCache>
                <c:formatCode>General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6E-E744-9D85-42F4D898D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985968"/>
        <c:axId val="2047764719"/>
      </c:scatterChart>
      <c:valAx>
        <c:axId val="1736985968"/>
        <c:scaling>
          <c:orientation val="minMax"/>
        </c:scaling>
        <c:delete val="0"/>
        <c:axPos val="b"/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47764719"/>
        <c:crosses val="autoZero"/>
        <c:crossBetween val="midCat"/>
      </c:valAx>
      <c:valAx>
        <c:axId val="2047764719"/>
        <c:scaling>
          <c:orientation val="minMax"/>
        </c:scaling>
        <c:delete val="0"/>
        <c:axPos val="l"/>
        <c:majorGridlines>
          <c:spPr>
            <a:ln>
              <a:solidFill>
                <a:srgbClr val="EEEEFF"/>
              </a:solidFill>
            </a:ln>
          </c:spPr>
        </c:majorGridlines>
        <c:numFmt formatCode="0.000" sourceLinked="0"/>
        <c:majorTickMark val="out"/>
        <c:minorTickMark val="none"/>
        <c:tickLblPos val="nextTo"/>
        <c:crossAx val="17369859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purl.oclc.org/ooxml/officeDocument/relationships/chart" Target="../charts/chart8.xml"/><Relationship Id="rId13" Type="http://purl.oclc.org/ooxml/officeDocument/relationships/chart" Target="../charts/chart13.xml"/><Relationship Id="rId3" Type="http://purl.oclc.org/ooxml/officeDocument/relationships/chart" Target="../charts/chart3.xml"/><Relationship Id="rId7" Type="http://purl.oclc.org/ooxml/officeDocument/relationships/chart" Target="../charts/chart7.xml"/><Relationship Id="rId12" Type="http://purl.oclc.org/ooxml/officeDocument/relationships/chart" Target="../charts/chart12.xml"/><Relationship Id="rId2" Type="http://purl.oclc.org/ooxml/officeDocument/relationships/chart" Target="../charts/chart2.xml"/><Relationship Id="rId16" Type="http://purl.oclc.org/ooxml/officeDocument/relationships/chart" Target="../charts/chart16.xml"/><Relationship Id="rId1" Type="http://purl.oclc.org/ooxml/officeDocument/relationships/chart" Target="../charts/chart1.xml"/><Relationship Id="rId6" Type="http://purl.oclc.org/ooxml/officeDocument/relationships/chart" Target="../charts/chart6.xml"/><Relationship Id="rId11" Type="http://purl.oclc.org/ooxml/officeDocument/relationships/chart" Target="../charts/chart11.xml"/><Relationship Id="rId5" Type="http://purl.oclc.org/ooxml/officeDocument/relationships/chart" Target="../charts/chart5.xml"/><Relationship Id="rId15" Type="http://purl.oclc.org/ooxml/officeDocument/relationships/chart" Target="../charts/chart15.xml"/><Relationship Id="rId10" Type="http://purl.oclc.org/ooxml/officeDocument/relationships/chart" Target="../charts/chart10.xml"/><Relationship Id="rId4" Type="http://purl.oclc.org/ooxml/officeDocument/relationships/chart" Target="../charts/chart4.xml"/><Relationship Id="rId9" Type="http://purl.oclc.org/ooxml/officeDocument/relationships/chart" Target="../charts/chart9.xml"/><Relationship Id="rId14" Type="http://purl.oclc.org/ooxml/officeDocument/relationships/chart" Target="../charts/chart14.xml"/></Relationships>
</file>

<file path=xl/drawings/drawing1.xml><?xml version="1.0" encoding="utf-8"?>
<xdr:wsDr xmlns:xdr="http://purl.oclc.org/ooxml/drawingml/spreadsheetDrawing" xmlns:a="http://purl.oclc.org/ooxml/drawingml/main">
  <xdr:twoCellAnchor editAs="absolute">
    <xdr:from>
      <xdr:col>1</xdr:col>
      <xdr:colOff>0</xdr:colOff>
      <xdr:row>8</xdr:row>
      <xdr:rowOff>0</xdr:rowOff>
    </xdr:from>
    <xdr:to>
      <xdr:col>5</xdr:col>
      <xdr:colOff>203200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3BF3A6-FF42-BB78-A087-48A687C17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 editAs="absolute">
    <xdr:from>
      <xdr:col>7</xdr:col>
      <xdr:colOff>571500</xdr:colOff>
      <xdr:row>8</xdr:row>
      <xdr:rowOff>0</xdr:rowOff>
    </xdr:from>
    <xdr:to>
      <xdr:col>11</xdr:col>
      <xdr:colOff>317500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A53268-099C-31A0-E10B-E45B73E3B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 editAs="absolute">
    <xdr:from>
      <xdr:col>13</xdr:col>
      <xdr:colOff>571500</xdr:colOff>
      <xdr:row>8</xdr:row>
      <xdr:rowOff>0</xdr:rowOff>
    </xdr:from>
    <xdr:to>
      <xdr:col>17</xdr:col>
      <xdr:colOff>317500</xdr:colOff>
      <xdr:row>17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1D7271-C52F-7AD4-37F2-1311A8983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 editAs="absolute">
    <xdr:from>
      <xdr:col>19</xdr:col>
      <xdr:colOff>571500</xdr:colOff>
      <xdr:row>8</xdr:row>
      <xdr:rowOff>0</xdr:rowOff>
    </xdr:from>
    <xdr:to>
      <xdr:col>23</xdr:col>
      <xdr:colOff>317500</xdr:colOff>
      <xdr:row>17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203967-527A-1534-BD62-F193BD1E5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 editAs="absolute">
    <xdr:from>
      <xdr:col>1</xdr:col>
      <xdr:colOff>0</xdr:colOff>
      <xdr:row>19</xdr:row>
      <xdr:rowOff>0</xdr:rowOff>
    </xdr:from>
    <xdr:to>
      <xdr:col>5</xdr:col>
      <xdr:colOff>203200</xdr:colOff>
      <xdr:row>28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A69304-A8CA-44F1-692A-A66DB6E3F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 editAs="absolute">
    <xdr:from>
      <xdr:col>7</xdr:col>
      <xdr:colOff>571500</xdr:colOff>
      <xdr:row>19</xdr:row>
      <xdr:rowOff>0</xdr:rowOff>
    </xdr:from>
    <xdr:to>
      <xdr:col>11</xdr:col>
      <xdr:colOff>317500</xdr:colOff>
      <xdr:row>28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0D6156-BC50-EA28-6B62-E7DD449A1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6"/>
        </a:graphicData>
      </a:graphic>
    </xdr:graphicFrame>
    <xdr:clientData/>
  </xdr:twoCellAnchor>
  <xdr:twoCellAnchor editAs="absolute">
    <xdr:from>
      <xdr:col>13</xdr:col>
      <xdr:colOff>571500</xdr:colOff>
      <xdr:row>19</xdr:row>
      <xdr:rowOff>0</xdr:rowOff>
    </xdr:from>
    <xdr:to>
      <xdr:col>17</xdr:col>
      <xdr:colOff>317500</xdr:colOff>
      <xdr:row>28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9E6C3AD-8370-B5D2-2284-D537F11C2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7"/>
        </a:graphicData>
      </a:graphic>
    </xdr:graphicFrame>
    <xdr:clientData/>
  </xdr:twoCellAnchor>
  <xdr:twoCellAnchor editAs="absolute">
    <xdr:from>
      <xdr:col>19</xdr:col>
      <xdr:colOff>571500</xdr:colOff>
      <xdr:row>19</xdr:row>
      <xdr:rowOff>0</xdr:rowOff>
    </xdr:from>
    <xdr:to>
      <xdr:col>23</xdr:col>
      <xdr:colOff>317500</xdr:colOff>
      <xdr:row>28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E1735C-A75F-2DE3-BFDE-AE8FFBE75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8"/>
        </a:graphicData>
      </a:graphic>
    </xdr:graphicFrame>
    <xdr:clientData/>
  </xdr:twoCellAnchor>
  <xdr:twoCellAnchor editAs="absolute">
    <xdr:from>
      <xdr:col>1</xdr:col>
      <xdr:colOff>0</xdr:colOff>
      <xdr:row>30</xdr:row>
      <xdr:rowOff>0</xdr:rowOff>
    </xdr:from>
    <xdr:to>
      <xdr:col>5</xdr:col>
      <xdr:colOff>203200</xdr:colOff>
      <xdr:row>39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E1EF862-EBA1-3586-F090-066FB3613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9"/>
        </a:graphicData>
      </a:graphic>
    </xdr:graphicFrame>
    <xdr:clientData/>
  </xdr:twoCellAnchor>
  <xdr:twoCellAnchor editAs="absolute">
    <xdr:from>
      <xdr:col>7</xdr:col>
      <xdr:colOff>571500</xdr:colOff>
      <xdr:row>30</xdr:row>
      <xdr:rowOff>0</xdr:rowOff>
    </xdr:from>
    <xdr:to>
      <xdr:col>11</xdr:col>
      <xdr:colOff>317500</xdr:colOff>
      <xdr:row>39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A9619D2-2899-57BD-74B2-DE03AE0A1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0"/>
        </a:graphicData>
      </a:graphic>
    </xdr:graphicFrame>
    <xdr:clientData/>
  </xdr:twoCellAnchor>
  <xdr:twoCellAnchor editAs="absolute">
    <xdr:from>
      <xdr:col>13</xdr:col>
      <xdr:colOff>571500</xdr:colOff>
      <xdr:row>30</xdr:row>
      <xdr:rowOff>0</xdr:rowOff>
    </xdr:from>
    <xdr:to>
      <xdr:col>17</xdr:col>
      <xdr:colOff>317500</xdr:colOff>
      <xdr:row>39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08B4E7E-9797-9B1D-C550-505E496D5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1"/>
        </a:graphicData>
      </a:graphic>
    </xdr:graphicFrame>
    <xdr:clientData/>
  </xdr:twoCellAnchor>
  <xdr:twoCellAnchor editAs="absolute">
    <xdr:from>
      <xdr:col>19</xdr:col>
      <xdr:colOff>571500</xdr:colOff>
      <xdr:row>30</xdr:row>
      <xdr:rowOff>0</xdr:rowOff>
    </xdr:from>
    <xdr:to>
      <xdr:col>23</xdr:col>
      <xdr:colOff>317500</xdr:colOff>
      <xdr:row>39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26B1427-E784-B907-C4AF-156984CEF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2"/>
        </a:graphicData>
      </a:graphic>
    </xdr:graphicFrame>
    <xdr:clientData/>
  </xdr:twoCellAnchor>
  <xdr:twoCellAnchor editAs="absolute">
    <xdr:from>
      <xdr:col>1</xdr:col>
      <xdr:colOff>0</xdr:colOff>
      <xdr:row>41</xdr:row>
      <xdr:rowOff>0</xdr:rowOff>
    </xdr:from>
    <xdr:to>
      <xdr:col>5</xdr:col>
      <xdr:colOff>203200</xdr:colOff>
      <xdr:row>50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FDC5BA2-0C1C-44CB-B61E-3F3E5B8D4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3"/>
        </a:graphicData>
      </a:graphic>
    </xdr:graphicFrame>
    <xdr:clientData/>
  </xdr:twoCellAnchor>
  <xdr:twoCellAnchor editAs="absolute">
    <xdr:from>
      <xdr:col>7</xdr:col>
      <xdr:colOff>571500</xdr:colOff>
      <xdr:row>41</xdr:row>
      <xdr:rowOff>0</xdr:rowOff>
    </xdr:from>
    <xdr:to>
      <xdr:col>11</xdr:col>
      <xdr:colOff>317500</xdr:colOff>
      <xdr:row>50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113C42E-8E23-27EC-30A8-D59DBDEEF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4"/>
        </a:graphicData>
      </a:graphic>
    </xdr:graphicFrame>
    <xdr:clientData/>
  </xdr:twoCellAnchor>
  <xdr:twoCellAnchor editAs="absolute">
    <xdr:from>
      <xdr:col>13</xdr:col>
      <xdr:colOff>571500</xdr:colOff>
      <xdr:row>41</xdr:row>
      <xdr:rowOff>0</xdr:rowOff>
    </xdr:from>
    <xdr:to>
      <xdr:col>17</xdr:col>
      <xdr:colOff>317500</xdr:colOff>
      <xdr:row>50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106E87A-C90B-7944-7D0A-93523AB33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5"/>
        </a:graphicData>
      </a:graphic>
    </xdr:graphicFrame>
    <xdr:clientData/>
  </xdr:twoCellAnchor>
  <xdr:twoCellAnchor editAs="absolute">
    <xdr:from>
      <xdr:col>19</xdr:col>
      <xdr:colOff>571500</xdr:colOff>
      <xdr:row>41</xdr:row>
      <xdr:rowOff>0</xdr:rowOff>
    </xdr:from>
    <xdr:to>
      <xdr:col>23</xdr:col>
      <xdr:colOff>317500</xdr:colOff>
      <xdr:row>50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260A220-4AA6-3200-F17E-90AE22D76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6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7F33-4BE1-874D-83C5-6AC921383326}">
  <dimension ref="A1:G1339"/>
  <sheetViews>
    <sheetView topLeftCell="A1306" workbookViewId="0">
      <selection sqref="A1:G133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2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2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2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2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2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2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2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2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2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2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2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2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2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2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2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2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2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2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2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2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2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2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2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2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2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2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2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2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2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2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2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2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2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2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2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2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2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2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2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2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2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2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2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2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2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2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2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2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2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2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2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2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2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2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2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2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2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2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2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2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2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2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2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2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2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2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2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2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2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2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2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2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2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2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2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2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2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2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2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2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2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2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2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2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2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2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2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2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2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2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2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2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2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2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2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2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2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2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2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2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2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2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2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2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2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2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2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2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2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2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2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2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2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2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2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2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2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2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2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2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2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2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2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2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2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2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2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2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2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2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2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2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2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2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2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2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2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2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2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2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2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2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2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2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2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2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2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2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2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2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2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2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2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2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2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2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2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2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2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2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2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2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2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2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2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2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2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2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2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2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2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2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2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2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2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2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2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2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2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2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2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2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2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2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2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2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2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2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2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2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2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2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2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2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2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2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2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2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2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2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2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2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2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2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2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2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2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2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2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2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2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2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2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2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2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2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2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2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2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2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2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2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2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2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2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2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2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2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2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2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2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2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2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2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2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2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2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2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2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2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2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2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2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2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2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2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2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2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2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2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2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2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2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2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2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2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2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2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2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2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2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2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2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2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2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2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2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2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2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2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2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2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2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2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2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2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2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2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2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2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2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2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2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2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2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2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2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2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2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2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2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2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2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2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2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2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2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2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2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2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2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2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2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2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2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2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2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2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2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2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2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2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2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2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2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2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2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2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2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2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2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2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2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2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2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2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2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2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2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2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2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2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2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2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2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2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2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2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2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2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2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2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2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2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2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2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2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2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2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2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2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2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2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2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2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2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2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2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2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2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2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2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2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2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2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2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2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2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2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2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2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2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2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2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2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2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2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2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2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2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2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2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2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2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2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2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2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2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2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2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2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2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2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2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2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2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2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2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2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2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2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2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2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2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2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2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2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2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2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2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2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2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2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2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2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2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2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2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2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2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2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2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2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2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2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2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2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2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2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2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2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2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2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2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2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2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2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2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2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2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2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2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2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2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2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2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2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2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2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2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2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2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2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2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2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2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2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2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2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2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2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2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2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2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2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2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2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2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2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2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2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2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2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2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2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2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2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2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2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2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2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2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2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2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2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2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2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2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2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2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2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2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2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2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2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2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2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2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2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2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2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2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2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2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2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2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2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2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2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2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2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2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2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2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2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2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2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2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2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2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2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2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2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2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2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2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2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2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2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2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2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2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2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2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2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2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2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2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2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2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2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2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2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2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2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2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2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2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2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2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2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2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2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2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2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2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2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2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2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2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2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2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2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2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2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2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2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2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2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2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2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2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2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2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2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2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2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2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2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2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2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2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2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2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2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2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2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2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2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2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2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2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2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2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2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2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2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2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2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2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2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2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2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2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2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2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2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2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2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2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2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2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2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2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2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2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2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2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2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2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2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2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2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2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2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2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2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2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2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2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2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2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2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2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2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2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2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2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2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2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2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2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2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2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2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2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2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2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2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2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2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2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2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2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2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2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2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2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2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2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2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2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2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2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2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2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2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2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2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2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2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2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2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2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2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2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2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2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2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2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2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2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2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2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2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2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2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2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2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2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2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2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2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2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2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2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2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2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2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2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2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2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2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2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2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2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2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2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2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2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2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2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2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2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2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2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2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2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2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2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2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2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2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2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2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2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2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2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2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2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2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2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2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2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2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2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2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2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2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2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2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2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2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2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2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2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2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2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2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2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2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2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2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2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2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2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2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2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2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2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2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2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2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2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2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2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2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2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2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2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2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2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2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2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2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2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2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2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2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2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2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2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2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2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2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2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2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2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2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2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2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2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2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2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2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2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2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2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2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2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2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2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2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2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2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2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2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2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2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2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2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2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2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2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2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2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2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2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2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2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2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2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2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2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2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2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2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2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2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2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2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2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2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2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2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2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2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2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2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2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2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2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2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2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2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2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2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2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2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2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2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2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2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2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2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2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2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2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2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2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2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2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2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2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2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2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2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2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2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2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2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2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2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2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2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2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2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2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2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2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2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2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2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2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2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2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2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2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2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2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2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2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2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2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2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2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2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2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2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2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2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2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2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2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2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2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2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2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2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2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2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2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2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2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2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2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2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2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2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2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2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2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2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2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2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2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2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2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2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2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2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2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2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2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2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2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2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2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2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2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2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2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2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2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2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2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2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2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2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2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2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2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2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2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2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2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2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2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2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2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2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2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2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2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2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2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2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2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2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2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2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2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2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2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2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2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2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2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2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2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2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2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2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2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2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2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2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2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2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2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2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2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2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2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2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2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2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2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2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2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2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2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2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2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2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2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2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2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2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2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2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2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2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2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2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2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2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2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2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2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2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2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2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2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2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2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2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2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2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2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2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2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2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2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2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2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2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2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2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2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2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2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2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2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2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2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2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2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2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2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2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2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2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2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2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2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2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2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2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2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2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2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2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2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2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2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2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2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2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2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2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2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2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2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2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2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2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2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2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2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2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2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2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2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2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2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2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2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2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2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2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2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2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2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2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2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2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2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2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2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2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2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2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2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2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2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2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2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2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2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2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2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2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2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2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2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2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2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2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2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2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2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2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2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2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2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2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2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2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2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2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2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2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2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2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2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2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2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2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2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2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2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2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2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2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2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2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2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2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2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2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2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2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2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2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2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2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2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2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2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2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2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2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2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2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2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2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2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2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2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2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2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2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2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2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2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2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2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2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2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2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2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2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2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2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2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2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2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2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2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2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2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2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2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2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2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2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2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2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2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2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2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2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2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2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2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2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2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2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2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2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2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2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2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2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2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2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2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2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2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2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2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2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2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2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2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2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2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2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2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2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2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2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2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2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2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2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2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2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2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2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2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2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2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2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2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2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2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2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2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2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2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2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2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2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2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2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2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2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2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2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2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2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2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2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2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2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2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2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2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2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2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2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2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2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2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2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2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2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2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2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2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2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2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2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2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2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2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2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2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2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2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2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2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2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2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2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2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2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2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2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2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2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2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2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2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2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2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2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2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2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2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2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2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2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2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2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2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2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2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2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2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2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2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2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2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2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2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2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2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2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2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2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2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2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2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2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sortState xmlns:xlrd2="http://schemas.microsoft.com/office/spreadsheetml/2017/richdata2" ref="A1341:A2678">
    <sortCondition ref="A1341"/>
  </sortState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5F79-1A01-0E46-AE50-AE6A0F8541BF}">
  <dimension ref="B2:F7"/>
  <sheetViews>
    <sheetView tabSelected="1" workbookViewId="0">
      <selection activeCell="C7" sqref="C7"/>
    </sheetView>
  </sheetViews>
  <sheetFormatPr baseColWidth="10" defaultRowHeight="16" x14ac:dyDescent="0.2"/>
  <cols>
    <col min="2" max="6" width="9.33203125" customWidth="1"/>
  </cols>
  <sheetData>
    <row r="2" spans="2:6" x14ac:dyDescent="0.2">
      <c r="B2" t="s">
        <v>46</v>
      </c>
    </row>
    <row r="3" spans="2:6" x14ac:dyDescent="0.2">
      <c r="C3" s="2" t="s">
        <v>0</v>
      </c>
      <c r="D3" s="2" t="s">
        <v>2</v>
      </c>
      <c r="E3" s="2" t="s">
        <v>3</v>
      </c>
      <c r="F3" s="2" t="s">
        <v>6</v>
      </c>
    </row>
    <row r="4" spans="2:6" x14ac:dyDescent="0.2">
      <c r="B4" s="5" t="s">
        <v>0</v>
      </c>
      <c r="C4" s="3">
        <f>CORREL(insurance!$A$2:$A$1339,insurance!$A$2:$A$1339)</f>
        <v>1</v>
      </c>
      <c r="D4" s="3">
        <f>CORREL(insurance!$A$2:$A$1339,insurance!$C$2:$C$1339)</f>
        <v>0.10927188154853502</v>
      </c>
      <c r="E4" s="3">
        <f>CORREL(insurance!$A$2:$A$1339,insurance!$D$2:$D$1339)</f>
        <v>4.2468998558849488E-2</v>
      </c>
      <c r="F4" s="3">
        <f>CORREL(insurance!$A$2:$A$1339,insurance!$G$2:$G$1339)</f>
        <v>0.29900819333064782</v>
      </c>
    </row>
    <row r="5" spans="2:6" x14ac:dyDescent="0.2">
      <c r="B5" s="5" t="s">
        <v>2</v>
      </c>
      <c r="C5" s="3">
        <f>CORREL(insurance!$C$2:$C$1339,insurance!$A$2:$A$1339)</f>
        <v>0.10927188154853502</v>
      </c>
      <c r="D5" s="3">
        <f>CORREL(insurance!$C$2:$C$1339,insurance!$C$2:$C$1339)</f>
        <v>1</v>
      </c>
      <c r="E5" s="3">
        <f>CORREL(insurance!$C$2:$C$1339,insurance!$D$2:$D$1339)</f>
        <v>1.275890082067385E-2</v>
      </c>
      <c r="F5" s="3">
        <f>CORREL(insurance!$C$2:$C$1339,insurance!$G$2:$G$1339)</f>
        <v>0.19834096883362906</v>
      </c>
    </row>
    <row r="6" spans="2:6" x14ac:dyDescent="0.2">
      <c r="B6" s="5" t="s">
        <v>3</v>
      </c>
      <c r="C6" s="3">
        <f>CORREL(insurance!$D$2:$D$1339,insurance!$A$2:$A$1339)</f>
        <v>4.2468998558849488E-2</v>
      </c>
      <c r="D6" s="3">
        <f>CORREL(insurance!$D$2:$D$1339,insurance!$C$2:$C$1339)</f>
        <v>1.275890082067385E-2</v>
      </c>
      <c r="E6" s="3">
        <f>CORREL(insurance!$D$2:$D$1339,insurance!$D$2:$D$1339)</f>
        <v>1.0000000000000002</v>
      </c>
      <c r="F6" s="3">
        <f>CORREL(insurance!$D$2:$D$1339,insurance!$G$2:$G$1339)</f>
        <v>6.7998226847905102E-2</v>
      </c>
    </row>
    <row r="7" spans="2:6" x14ac:dyDescent="0.2">
      <c r="B7" s="5" t="s">
        <v>6</v>
      </c>
      <c r="C7" s="3">
        <f>CORREL(insurance!$G$2:$G$1339,insurance!$A$2:$A$1339)</f>
        <v>0.29900819333064782</v>
      </c>
      <c r="D7" s="3">
        <f>CORREL(insurance!$G$2:$G$1339,insurance!$C$2:$C$1339)</f>
        <v>0.19834096883362906</v>
      </c>
      <c r="E7" s="3">
        <f>CORREL(insurance!$G$2:$G$1339,insurance!$D$2:$D$1339)</f>
        <v>6.7998226847905102E-2</v>
      </c>
      <c r="F7" s="3">
        <f>CORREL(insurance!$G$2:$G$1339,insurance!$G$2:$G$1339)</f>
        <v>0.99999999999999978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3AC6-8606-4146-90B8-D6E9BA0E04F6}">
  <dimension ref="A1:H27"/>
  <sheetViews>
    <sheetView workbookViewId="0">
      <selection activeCell="K19" sqref="K19"/>
    </sheetView>
  </sheetViews>
  <sheetFormatPr baseColWidth="10" defaultRowHeight="16" x14ac:dyDescent="0.2"/>
  <cols>
    <col min="2" max="2" width="14.83203125" customWidth="1"/>
    <col min="3" max="6" width="11.6640625" bestFit="1" customWidth="1"/>
    <col min="7" max="8" width="10.6640625" bestFit="1" customWidth="1"/>
  </cols>
  <sheetData>
    <row r="1" spans="1:8" x14ac:dyDescent="0.2">
      <c r="A1" s="1" t="s">
        <v>15</v>
      </c>
    </row>
    <row r="3" spans="1:8" x14ac:dyDescent="0.2">
      <c r="B3" t="s">
        <v>16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</row>
    <row r="4" spans="1:8" x14ac:dyDescent="0.2">
      <c r="B4" t="s">
        <v>17</v>
      </c>
      <c r="C4">
        <f>COUNTIF(insurance!$D$2:$D$1339,0)</f>
        <v>574</v>
      </c>
      <c r="D4">
        <f>COUNTIF(insurance!$D$2:$D$1339,1)</f>
        <v>324</v>
      </c>
      <c r="E4">
        <f>COUNTIF(insurance!$D$2:$D$1339,2)</f>
        <v>240</v>
      </c>
      <c r="F4">
        <f>COUNTIF(insurance!$D$2:$D$1339,3)</f>
        <v>157</v>
      </c>
      <c r="G4">
        <f>COUNTIF(insurance!$D$2:$D$1339,4)</f>
        <v>25</v>
      </c>
      <c r="H4">
        <f>COUNTIF(insurance!$D$2:$D$1339,5)</f>
        <v>18</v>
      </c>
    </row>
    <row r="5" spans="1:8" x14ac:dyDescent="0.2">
      <c r="B5" t="s">
        <v>18</v>
      </c>
      <c r="C5">
        <f t="array" ref="C5">COUNT(IF(NOT(ISBLANK(insurance!$G$2:$G$1339)),IF(insurance!$D$2:$D$1339=0,insurance!$G$2:$G$1339)))</f>
        <v>574</v>
      </c>
      <c r="D5">
        <f t="array" ref="D5">COUNT(IF(NOT(ISBLANK(insurance!$G$2:$G$1339)),IF(insurance!$D$2:$D$1339=1,insurance!$G$2:$G$1339)))</f>
        <v>324</v>
      </c>
      <c r="E5">
        <f t="array" ref="E5">COUNT(IF(NOT(ISBLANK(insurance!$G$2:$G$1339)),IF(insurance!$D$2:$D$1339=2,insurance!$G$2:$G$1339)))</f>
        <v>240</v>
      </c>
      <c r="F5">
        <f t="array" ref="F5">COUNT(IF(NOT(ISBLANK(insurance!$G$2:$G$1339)),IF(insurance!$D$2:$D$1339=3,insurance!$G$2:$G$1339)))</f>
        <v>157</v>
      </c>
      <c r="G5">
        <f t="array" ref="G5">COUNT(IF(NOT(ISBLANK(insurance!$G$2:$G$1339)),IF(insurance!$D$2:$D$1339=4,insurance!$G$2:$G$1339)))</f>
        <v>25</v>
      </c>
      <c r="H5">
        <f t="array" ref="H5">COUNT(IF(NOT(ISBLANK(insurance!$G$2:$G$1339)),IF(insurance!$D$2:$D$1339=5,insurance!$G$2:$G$1339)))</f>
        <v>18</v>
      </c>
    </row>
    <row r="6" spans="1:8" x14ac:dyDescent="0.2">
      <c r="B6" t="s">
        <v>19</v>
      </c>
      <c r="C6">
        <f>C4-C5</f>
        <v>0</v>
      </c>
      <c r="D6">
        <f>D4-D5</f>
        <v>0</v>
      </c>
      <c r="E6">
        <f>E4-E5</f>
        <v>0</v>
      </c>
      <c r="F6">
        <f>F4-F5</f>
        <v>0</v>
      </c>
      <c r="G6">
        <f>G4-G5</f>
        <v>0</v>
      </c>
      <c r="H6">
        <f>H4-H5</f>
        <v>0</v>
      </c>
    </row>
    <row r="8" spans="1:8" x14ac:dyDescent="0.2">
      <c r="B8" t="s">
        <v>20</v>
      </c>
    </row>
    <row r="9" spans="1:8" x14ac:dyDescent="0.2">
      <c r="B9" t="s">
        <v>21</v>
      </c>
      <c r="C9" s="3">
        <f t="array" ref="C9">MIN(IF(NOT(ISBLANK(insurance!$G$2:$G$1339)),IF(insurance!$D$2:$D$1339=0,insurance!$G$2:$G$1339)))</f>
        <v>1121.8739</v>
      </c>
      <c r="D9" s="3">
        <f t="array" ref="D9">MIN(IF(NOT(ISBLANK(insurance!$G$2:$G$1339)),IF(insurance!$D$2:$D$1339=1,insurance!$G$2:$G$1339)))</f>
        <v>1711.0268000000001</v>
      </c>
      <c r="E9" s="3">
        <f t="array" ref="E9">MIN(IF(NOT(ISBLANK(insurance!$G$2:$G$1339)),IF(insurance!$D$2:$D$1339=2,insurance!$G$2:$G$1339)))</f>
        <v>2304.0021999999999</v>
      </c>
      <c r="F9" s="3">
        <f t="array" ref="F9">MIN(IF(NOT(ISBLANK(insurance!$G$2:$G$1339)),IF(insurance!$D$2:$D$1339=3,insurance!$G$2:$G$1339)))</f>
        <v>3443.0639999999999</v>
      </c>
      <c r="G9" s="3">
        <f t="array" ref="G9">MIN(IF(NOT(ISBLANK(insurance!$G$2:$G$1339)),IF(insurance!$D$2:$D$1339=4,insurance!$G$2:$G$1339)))</f>
        <v>4504.6624000000002</v>
      </c>
      <c r="H9" s="3">
        <f t="array" ref="H9">MIN(IF(NOT(ISBLANK(insurance!$G$2:$G$1339)),IF(insurance!$D$2:$D$1339=5,insurance!$G$2:$G$1339)))</f>
        <v>4687.7969999999996</v>
      </c>
    </row>
    <row r="10" spans="1:8" x14ac:dyDescent="0.2">
      <c r="B10" t="s">
        <v>22</v>
      </c>
      <c r="C10" s="3">
        <f t="array" ref="C10">MAX(IF(NOT(ISBLANK(insurance!$G$2:$G$1339)),IF(insurance!$D$2:$D$1339=0,insurance!$G$2:$G$1339)))</f>
        <v>63770.428010000003</v>
      </c>
      <c r="D10" s="3">
        <f t="array" ref="D10">MAX(IF(NOT(ISBLANK(insurance!$G$2:$G$1339)),IF(insurance!$D$2:$D$1339=1,insurance!$G$2:$G$1339)))</f>
        <v>58571.074480000003</v>
      </c>
      <c r="E10" s="3">
        <f t="array" ref="E10">MAX(IF(NOT(ISBLANK(insurance!$G$2:$G$1339)),IF(insurance!$D$2:$D$1339=2,insurance!$G$2:$G$1339)))</f>
        <v>49577.662400000001</v>
      </c>
      <c r="F10" s="3">
        <f t="array" ref="F10">MAX(IF(NOT(ISBLANK(insurance!$G$2:$G$1339)),IF(insurance!$D$2:$D$1339=3,insurance!$G$2:$G$1339)))</f>
        <v>60021.398970000002</v>
      </c>
      <c r="G10" s="3">
        <f t="array" ref="G10">MAX(IF(NOT(ISBLANK(insurance!$G$2:$G$1339)),IF(insurance!$D$2:$D$1339=4,insurance!$G$2:$G$1339)))</f>
        <v>40182.245999999999</v>
      </c>
      <c r="H10" s="3">
        <f t="array" ref="H10">MAX(IF(NOT(ISBLANK(insurance!$G$2:$G$1339)),IF(insurance!$D$2:$D$1339=5,insurance!$G$2:$G$1339)))</f>
        <v>19023.259999999998</v>
      </c>
    </row>
    <row r="11" spans="1:8" x14ac:dyDescent="0.2">
      <c r="B11" t="s">
        <v>23</v>
      </c>
      <c r="C11" s="3">
        <f t="array" ref="C11">SUM(IF(NOT(ISBLANK(insurance!$G$2:$G$1339)),IF(insurance!$D$2:$D$1339=0,insurance!$G$2:$G$1339)))</f>
        <v>7098069.9953389969</v>
      </c>
      <c r="D11" s="3">
        <f t="array" ref="D11">SUM(IF(NOT(ISBLANK(insurance!$G$2:$G$1339)),IF(insurance!$D$2:$D$1339=1,insurance!$G$2:$G$1339)))</f>
        <v>4124899.6734499969</v>
      </c>
      <c r="E11" s="3">
        <f t="array" ref="E11">SUM(IF(NOT(ISBLANK(insurance!$G$2:$G$1339)),IF(insurance!$D$2:$D$1339=2,insurance!$G$2:$G$1339)))</f>
        <v>3617655.2961499989</v>
      </c>
      <c r="F11" s="3">
        <f t="array" ref="F11">SUM(IF(NOT(ISBLANK(insurance!$G$2:$G$1339)),IF(insurance!$D$2:$D$1339=3,insurance!$G$2:$G$1339)))</f>
        <v>2410784.9835899989</v>
      </c>
      <c r="G11" s="3">
        <f t="array" ref="G11">SUM(IF(NOT(ISBLANK(insurance!$G$2:$G$1339)),IF(insurance!$D$2:$D$1339=4,insurance!$G$2:$G$1339)))</f>
        <v>346266.40777999995</v>
      </c>
      <c r="H11" s="3">
        <f t="array" ref="H11">SUM(IF(NOT(ISBLANK(insurance!$G$2:$G$1339)),IF(insurance!$D$2:$D$1339=5,insurance!$G$2:$G$1339)))</f>
        <v>158148.63445000001</v>
      </c>
    </row>
    <row r="12" spans="1:8" x14ac:dyDescent="0.2">
      <c r="B12" t="s">
        <v>24</v>
      </c>
      <c r="C12" s="3">
        <f t="array" ref="C12">AVERAGE(IF(NOT(ISBLANK(insurance!$G$2:$G$1339)),IF(insurance!$D$2:$D$1339=0,insurance!$G$2:$G$1339)))</f>
        <v>12365.975601635882</v>
      </c>
      <c r="D12" s="3">
        <f t="array" ref="D12">AVERAGE(IF(NOT(ISBLANK(insurance!$G$2:$G$1339)),IF(insurance!$D$2:$D$1339=1,insurance!$G$2:$G$1339)))</f>
        <v>12731.171831635793</v>
      </c>
      <c r="E12" s="3">
        <f t="array" ref="E12">AVERAGE(IF(NOT(ISBLANK(insurance!$G$2:$G$1339)),IF(insurance!$D$2:$D$1339=2,insurance!$G$2:$G$1339)))</f>
        <v>15073.563733958328</v>
      </c>
      <c r="F12" s="3">
        <f t="array" ref="F12">AVERAGE(IF(NOT(ISBLANK(insurance!$G$2:$G$1339)),IF(insurance!$D$2:$D$1339=3,insurance!$G$2:$G$1339)))</f>
        <v>15355.31836681528</v>
      </c>
      <c r="G12" s="3">
        <f t="array" ref="G12">AVERAGE(IF(NOT(ISBLANK(insurance!$G$2:$G$1339)),IF(insurance!$D$2:$D$1339=4,insurance!$G$2:$G$1339)))</f>
        <v>13850.656311199999</v>
      </c>
      <c r="H12" s="3">
        <f t="array" ref="H12">AVERAGE(IF(NOT(ISBLANK(insurance!$G$2:$G$1339)),IF(insurance!$D$2:$D$1339=5,insurance!$G$2:$G$1339)))</f>
        <v>8786.0352472222221</v>
      </c>
    </row>
    <row r="13" spans="1:8" x14ac:dyDescent="0.2">
      <c r="B13" t="s">
        <v>25</v>
      </c>
      <c r="C13" s="3">
        <f t="array" ref="C13">MEDIAN(IF(NOT(ISBLANK(insurance!$G$2:$G$1339)),IF(insurance!$D$2:$D$1339=0,insurance!$G$2:$G$1339)))</f>
        <v>9856.9519</v>
      </c>
      <c r="D13" s="3">
        <f t="array" ref="D13">MEDIAN(IF(NOT(ISBLANK(insurance!$G$2:$G$1339)),IF(insurance!$D$2:$D$1339=1,insurance!$G$2:$G$1339)))</f>
        <v>8483.8701499999988</v>
      </c>
      <c r="E13" s="3">
        <f t="array" ref="E13">MEDIAN(IF(NOT(ISBLANK(insurance!$G$2:$G$1339)),IF(insurance!$D$2:$D$1339=2,insurance!$G$2:$G$1339)))</f>
        <v>9264.9791499999992</v>
      </c>
      <c r="F13" s="3">
        <f t="array" ref="F13">MEDIAN(IF(NOT(ISBLANK(insurance!$G$2:$G$1339)),IF(insurance!$D$2:$D$1339=3,insurance!$G$2:$G$1339)))</f>
        <v>10600.5483</v>
      </c>
      <c r="G13" s="3">
        <f t="array" ref="G13">MEDIAN(IF(NOT(ISBLANK(insurance!$G$2:$G$1339)),IF(insurance!$D$2:$D$1339=4,insurance!$G$2:$G$1339)))</f>
        <v>11033.661700000001</v>
      </c>
      <c r="H13" s="3">
        <f t="array" ref="H13">MEDIAN(IF(NOT(ISBLANK(insurance!$G$2:$G$1339)),IF(insurance!$D$2:$D$1339=5,insurance!$G$2:$G$1339)))</f>
        <v>8589.5650499999992</v>
      </c>
    </row>
    <row r="14" spans="1:8" x14ac:dyDescent="0.2">
      <c r="B14" t="s">
        <v>26</v>
      </c>
      <c r="C14" s="3">
        <f t="array" ref="C14">_xlfn.STDEV.S(IF(NOT(ISBLANK(insurance!$G$2:$G$1339)),IF(insurance!$D$2:$D$1339=0,insurance!$G$2:$G$1339)))</f>
        <v>12023.293942169839</v>
      </c>
      <c r="D14" s="3">
        <f t="array" ref="D14">_xlfn.STDEV.S(IF(NOT(ISBLANK(insurance!$G$2:$G$1339)),IF(insurance!$D$2:$D$1339=1,insurance!$G$2:$G$1339)))</f>
        <v>11823.631451451864</v>
      </c>
      <c r="E14" s="3">
        <f t="array" ref="E14">_xlfn.STDEV.S(IF(NOT(ISBLANK(insurance!$G$2:$G$1339)),IF(insurance!$D$2:$D$1339=2,insurance!$G$2:$G$1339)))</f>
        <v>12891.368346559497</v>
      </c>
      <c r="F14" s="3">
        <f t="array" ref="F14">_xlfn.STDEV.S(IF(NOT(ISBLANK(insurance!$G$2:$G$1339)),IF(insurance!$D$2:$D$1339=3,insurance!$G$2:$G$1339)))</f>
        <v>12330.869483978393</v>
      </c>
      <c r="G14" s="3">
        <f t="array" ref="G14">_xlfn.STDEV.S(IF(NOT(ISBLANK(insurance!$G$2:$G$1339)),IF(insurance!$D$2:$D$1339=4,insurance!$G$2:$G$1339)))</f>
        <v>9139.2233213899781</v>
      </c>
      <c r="H14" s="3">
        <f t="array" ref="H14">_xlfn.STDEV.S(IF(NOT(ISBLANK(insurance!$G$2:$G$1339)),IF(insurance!$D$2:$D$1339=5,insurance!$G$2:$G$1339)))</f>
        <v>3808.4355245084016</v>
      </c>
    </row>
    <row r="15" spans="1:8" x14ac:dyDescent="0.2">
      <c r="B15" t="s">
        <v>27</v>
      </c>
      <c r="C15" s="3">
        <f t="array" ref="C15">AVEDEV(IF(NOT(ISBLANK(insurance!$G$2:$G$1339)),IF(insurance!$D$2:$D$1339=0,insurance!$G$2:$G$1339)))</f>
        <v>8835.3500902372798</v>
      </c>
      <c r="D15" s="3">
        <f t="array" ref="D15">AVEDEV(IF(NOT(ISBLANK(insurance!$G$2:$G$1339)),IF(insurance!$D$2:$D$1339=1,insurance!$G$2:$G$1339)))</f>
        <v>8847.2074124043556</v>
      </c>
      <c r="E15" s="3">
        <f t="array" ref="E15">AVEDEV(IF(NOT(ISBLANK(insurance!$G$2:$G$1339)),IF(insurance!$D$2:$D$1339=2,insurance!$G$2:$G$1339)))</f>
        <v>10321.265646809026</v>
      </c>
      <c r="F15" s="3">
        <f t="array" ref="F15">AVEDEV(IF(NOT(ISBLANK(insurance!$G$2:$G$1339)),IF(insurance!$D$2:$D$1339=3,insurance!$G$2:$G$1339)))</f>
        <v>9503.6297621964331</v>
      </c>
      <c r="G15" s="3">
        <f t="array" ref="G15">AVEDEV(IF(NOT(ISBLANK(insurance!$G$2:$G$1339)),IF(insurance!$D$2:$D$1339=4,insurance!$G$2:$G$1339)))</f>
        <v>6643.2987703360004</v>
      </c>
      <c r="H15" s="3">
        <f t="array" ref="H15">AVEDEV(IF(NOT(ISBLANK(insurance!$G$2:$G$1339)),IF(insurance!$D$2:$D$1339=5,insurance!$G$2:$G$1339)))</f>
        <v>2825.8645469135809</v>
      </c>
    </row>
    <row r="16" spans="1:8" x14ac:dyDescent="0.2">
      <c r="B16" t="s">
        <v>28</v>
      </c>
      <c r="C16" s="3">
        <f t="array" ref="C16">QUARTILE(IF(NOT(ISBLANK(insurance!$G$2:$G$1339)),IF(insurance!$D$2:$D$1339=0,insurance!$G$2:$G$1339)),1)</f>
        <v>2734.4211500000001</v>
      </c>
      <c r="D16" s="3">
        <f t="array" ref="D16">QUARTILE(IF(NOT(ISBLANK(insurance!$G$2:$G$1339)),IF(insurance!$D$2:$D$1339=1,insurance!$G$2:$G$1339)),1)</f>
        <v>4791.6431749999992</v>
      </c>
      <c r="E16" s="3">
        <f t="array" ref="E16">QUARTILE(IF(NOT(ISBLANK(insurance!$G$2:$G$1339)),IF(insurance!$D$2:$D$1339=2,insurance!$G$2:$G$1339)),1)</f>
        <v>6284.9394375000002</v>
      </c>
      <c r="F16" s="3">
        <f t="array" ref="F16">QUARTILE(IF(NOT(ISBLANK(insurance!$G$2:$G$1339)),IF(insurance!$D$2:$D$1339=3,insurance!$G$2:$G$1339)),1)</f>
        <v>6652.5288</v>
      </c>
      <c r="G16" s="3">
        <f t="array" ref="G16">QUARTILE(IF(NOT(ISBLANK(insurance!$G$2:$G$1339)),IF(insurance!$D$2:$D$1339=4,insurance!$G$2:$G$1339)),1)</f>
        <v>7512.2669999999998</v>
      </c>
      <c r="H16" s="3">
        <f t="array" ref="H16">QUARTILE(IF(NOT(ISBLANK(insurance!$G$2:$G$1339)),IF(insurance!$D$2:$D$1339=5,insurance!$G$2:$G$1339)),1)</f>
        <v>5874.9739</v>
      </c>
    </row>
    <row r="17" spans="2:8" x14ac:dyDescent="0.2">
      <c r="B17" t="s">
        <v>29</v>
      </c>
      <c r="C17" s="3">
        <f t="array" ref="C17">QUARTILE(IF(NOT(ISBLANK(insurance!$G$2:$G$1339)),IF(insurance!$D$2:$D$1339=0,insurance!$G$2:$G$1339)),3)</f>
        <v>14440.123825000001</v>
      </c>
      <c r="D17" s="3">
        <f t="array" ref="D17">QUARTILE(IF(NOT(ISBLANK(insurance!$G$2:$G$1339)),IF(insurance!$D$2:$D$1339=1,insurance!$G$2:$G$1339)),3)</f>
        <v>15632.05205</v>
      </c>
      <c r="E17" s="3">
        <f t="array" ref="E17">QUARTILE(IF(NOT(ISBLANK(insurance!$G$2:$G$1339)),IF(insurance!$D$2:$D$1339=2,insurance!$G$2:$G$1339)),3)</f>
        <v>20379.2767475</v>
      </c>
      <c r="F17" s="3">
        <f t="array" ref="F17">QUARTILE(IF(NOT(ISBLANK(insurance!$G$2:$G$1339)),IF(insurance!$D$2:$D$1339=3,insurance!$G$2:$G$1339)),3)</f>
        <v>19199.944</v>
      </c>
      <c r="G17" s="3">
        <f t="array" ref="G17">QUARTILE(IF(NOT(ISBLANK(insurance!$G$2:$G$1339)),IF(insurance!$D$2:$D$1339=4,insurance!$G$2:$G$1339)),3)</f>
        <v>17128.426080000001</v>
      </c>
      <c r="H17" s="3">
        <f t="array" ref="H17">QUARTILE(IF(NOT(ISBLANK(insurance!$G$2:$G$1339)),IF(insurance!$D$2:$D$1339=5,insurance!$G$2:$G$1339)),3)</f>
        <v>10019.943975</v>
      </c>
    </row>
    <row r="18" spans="2:8" x14ac:dyDescent="0.2">
      <c r="B18" t="s">
        <v>30</v>
      </c>
      <c r="C18" s="3">
        <f>C17-C16</f>
        <v>11705.702675</v>
      </c>
      <c r="D18" s="3">
        <f>D17-D16</f>
        <v>10840.408875000001</v>
      </c>
      <c r="E18" s="3">
        <f>E17-E16</f>
        <v>14094.337309999999</v>
      </c>
      <c r="F18" s="3">
        <f>F17-F16</f>
        <v>12547.415199999999</v>
      </c>
      <c r="G18" s="3">
        <f>G17-G16</f>
        <v>9616.1590800000013</v>
      </c>
      <c r="H18" s="3">
        <f>H17-H16</f>
        <v>4144.9700750000002</v>
      </c>
    </row>
    <row r="19" spans="2:8" x14ac:dyDescent="0.2">
      <c r="B19" t="s">
        <v>31</v>
      </c>
      <c r="C19" s="3">
        <f t="array" ref="C19">PERCENTILE(IF(NOT(ISBLANK(insurance!$G$2:$G$1339)),IF(insurance!$D$2:$D$1339=0,insurance!$G$2:$G$1339)),0.01)</f>
        <v>1140.371742</v>
      </c>
      <c r="D19" s="3">
        <f t="array" ref="D19">PERCENTILE(IF(NOT(ISBLANK(insurance!$G$2:$G$1339)),IF(insurance!$D$2:$D$1339=1,insurance!$G$2:$G$1339)),0.01)</f>
        <v>1726.0094710000001</v>
      </c>
      <c r="E19" s="3">
        <f t="array" ref="E19">PERCENTILE(IF(NOT(ISBLANK(insurance!$G$2:$G$1339)),IF(insurance!$D$2:$D$1339=2,insurance!$G$2:$G$1339)),0.01)</f>
        <v>2802.2100295</v>
      </c>
      <c r="F19" s="3">
        <f t="array" ref="F19">PERCENTILE(IF(NOT(ISBLANK(insurance!$G$2:$G$1339)),IF(insurance!$D$2:$D$1339=3,insurance!$G$2:$G$1339)),0.01)</f>
        <v>3543.25072</v>
      </c>
      <c r="G19" s="3">
        <f t="array" ref="G19">PERCENTILE(IF(NOT(ISBLANK(insurance!$G$2:$G$1339)),IF(insurance!$D$2:$D$1339=4,insurance!$G$2:$G$1339)),0.01)</f>
        <v>4518.2286640000002</v>
      </c>
      <c r="H19" s="3">
        <f t="array" ref="H19">PERCENTILE(IF(NOT(ISBLANK(insurance!$G$2:$G$1339)),IF(insurance!$D$2:$D$1339=5,insurance!$G$2:$G$1339)),0.01)</f>
        <v>4712.0786099999996</v>
      </c>
    </row>
    <row r="20" spans="2:8" x14ac:dyDescent="0.2">
      <c r="B20" t="s">
        <v>32</v>
      </c>
      <c r="C20" s="3">
        <f t="array" ref="C20">PERCENTILE(IF(NOT(ISBLANK(insurance!$G$2:$G$1339)),IF(insurance!$D$2:$D$1339=0,insurance!$G$2:$G$1339)),0.05)</f>
        <v>1624.2979124999999</v>
      </c>
      <c r="D20" s="3">
        <f t="array" ref="D20">PERCENTILE(IF(NOT(ISBLANK(insurance!$G$2:$G$1339)),IF(insurance!$D$2:$D$1339=1,insurance!$G$2:$G$1339)),0.05)</f>
        <v>2420.12003</v>
      </c>
      <c r="E20" s="3">
        <f t="array" ref="E20">PERCENTILE(IF(NOT(ISBLANK(insurance!$G$2:$G$1339)),IF(insurance!$D$2:$D$1339=2,insurance!$G$2:$G$1339)),0.05)</f>
        <v>3535.848465</v>
      </c>
      <c r="F20" s="3">
        <f t="array" ref="F20">PERCENTILE(IF(NOT(ISBLANK(insurance!$G$2:$G$1339)),IF(insurance!$D$2:$D$1339=3,insurance!$G$2:$G$1339)),0.05)</f>
        <v>4255.5805999999993</v>
      </c>
      <c r="G20" s="3">
        <f t="array" ref="G20">PERCENTILE(IF(NOT(ISBLANK(insurance!$G$2:$G$1339)),IF(insurance!$D$2:$D$1339=4,insurance!$G$2:$G$1339)),0.05)</f>
        <v>4624.5470100000002</v>
      </c>
      <c r="H20" s="3">
        <f t="array" ref="H20">PERCENTILE(IF(NOT(ISBLANK(insurance!$G$2:$G$1339)),IF(insurance!$D$2:$D$1339=5,insurance!$G$2:$G$1339)),0.05)</f>
        <v>4809.2050500000005</v>
      </c>
    </row>
    <row r="21" spans="2:8" x14ac:dyDescent="0.2">
      <c r="B21" t="s">
        <v>33</v>
      </c>
      <c r="C21" s="3">
        <f t="array" ref="C21">PERCENTILE(IF(NOT(ISBLANK(insurance!$G$2:$G$1339)),IF(insurance!$D$2:$D$1339=0,insurance!$G$2:$G$1339)),0.951)</f>
        <v>39548.6891483</v>
      </c>
      <c r="D21" s="3">
        <f t="array" ref="D21">PERCENTILE(IF(NOT(ISBLANK(insurance!$G$2:$G$1339)),IF(insurance!$D$2:$D$1339=1,insurance!$G$2:$G$1339)),0.951)</f>
        <v>40926.6932887</v>
      </c>
      <c r="E21" s="3">
        <f t="array" ref="E21">PERCENTILE(IF(NOT(ISBLANK(insurance!$G$2:$G$1339)),IF(insurance!$D$2:$D$1339=2,insurance!$G$2:$G$1339)),0.951)</f>
        <v>44219.443430699997</v>
      </c>
      <c r="F21" s="3">
        <f t="array" ref="F21">PERCENTILE(IF(NOT(ISBLANK(insurance!$G$2:$G$1339)),IF(insurance!$D$2:$D$1339=3,insurance!$G$2:$G$1339)),0.951)</f>
        <v>42704.375842999994</v>
      </c>
      <c r="G21" s="3">
        <f t="array" ref="G21">PERCENTILE(IF(NOT(ISBLANK(insurance!$G$2:$G$1339)),IF(insurance!$D$2:$D$1339=4,insurance!$G$2:$G$1339)),0.951)</f>
        <v>34484.365247679976</v>
      </c>
      <c r="H21" s="3">
        <f t="array" ref="H21">PERCENTILE(IF(NOT(ISBLANK(insurance!$G$2:$G$1339)),IF(insurance!$D$2:$D$1339=5,insurance!$G$2:$G$1339)),0.951)</f>
        <v>15237.333434949991</v>
      </c>
    </row>
    <row r="22" spans="2:8" x14ac:dyDescent="0.2">
      <c r="B22" t="s">
        <v>34</v>
      </c>
      <c r="C22" s="3">
        <f t="array" ref="C22">PERCENTILE(IF(NOT(ISBLANK(insurance!$G$2:$G$1339)),IF(insurance!$D$2:$D$1339=0,insurance!$G$2:$G$1339)),0.99)</f>
        <v>48714.299423999997</v>
      </c>
      <c r="D22" s="3">
        <f t="array" ref="D22">PERCENTILE(IF(NOT(ISBLANK(insurance!$G$2:$G$1339)),IF(insurance!$D$2:$D$1339=1,insurance!$G$2:$G$1339)),0.99)</f>
        <v>48639.188153499992</v>
      </c>
      <c r="E22" s="3">
        <f t="array" ref="E22">PERCENTILE(IF(NOT(ISBLANK(insurance!$G$2:$G$1339)),IF(insurance!$D$2:$D$1339=2,insurance!$G$2:$G$1339)),0.99)</f>
        <v>47401.434289999997</v>
      </c>
      <c r="F22" s="3">
        <f t="array" ref="F22">PERCENTILE(IF(NOT(ISBLANK(insurance!$G$2:$G$1339)),IF(insurance!$D$2:$D$1339=3,insurance!$G$2:$G$1339)),0.99)</f>
        <v>47523.809893999998</v>
      </c>
      <c r="G22" s="3">
        <f t="array" ref="G22">PERCENTILE(IF(NOT(ISBLANK(insurance!$G$2:$G$1339)),IF(insurance!$D$2:$D$1339=4,insurance!$G$2:$G$1339)),0.99)</f>
        <v>39317.77467839999</v>
      </c>
      <c r="H22" s="3">
        <f t="array" ref="H22">PERCENTILE(IF(NOT(ISBLANK(insurance!$G$2:$G$1339)),IF(insurance!$D$2:$D$1339=5,insurance!$G$2:$G$1339)),0.99)</f>
        <v>18250.621925499992</v>
      </c>
    </row>
    <row r="24" spans="2:8" x14ac:dyDescent="0.2">
      <c r="B24" t="s">
        <v>35</v>
      </c>
    </row>
    <row r="25" spans="2:8" x14ac:dyDescent="0.2">
      <c r="B25" t="s">
        <v>36</v>
      </c>
      <c r="C25" s="4">
        <f t="array" ref="C25">_xlfn.VAR.S(IF(NOT(ISBLANK(insurance!$G$2:$G$1339)),IF(insurance!$D$2:$D$1339=0,insurance!$G$2:$G$1339)))</f>
        <v>144559597.21981797</v>
      </c>
      <c r="D25" s="4">
        <f t="array" ref="D25">_xlfn.VAR.S(IF(NOT(ISBLANK(insurance!$G$2:$G$1339)),IF(insurance!$D$2:$D$1339=1,insurance!$G$2:$G$1339)))</f>
        <v>139798260.69976172</v>
      </c>
      <c r="E25" s="4">
        <f t="array" ref="E25">_xlfn.VAR.S(IF(NOT(ISBLANK(insurance!$G$2:$G$1339)),IF(insurance!$D$2:$D$1339=2,insurance!$G$2:$G$1339)))</f>
        <v>166187377.84667614</v>
      </c>
      <c r="F25" s="4">
        <f t="array" ref="F25">_xlfn.VAR.S(IF(NOT(ISBLANK(insurance!$G$2:$G$1339)),IF(insurance!$D$2:$D$1339=3,insurance!$G$2:$G$1339)))</f>
        <v>152050342.23090956</v>
      </c>
      <c r="G25" s="4">
        <f t="array" ref="G25">_xlfn.VAR.S(IF(NOT(ISBLANK(insurance!$G$2:$G$1339)),IF(insurance!$D$2:$D$1339=4,insurance!$G$2:$G$1339)))</f>
        <v>83525402.918238446</v>
      </c>
      <c r="H25" s="4">
        <f t="array" ref="H25">_xlfn.VAR.S(IF(NOT(ISBLANK(insurance!$G$2:$G$1339)),IF(insurance!$D$2:$D$1339=5,insurance!$G$2:$G$1339)))</f>
        <v>14504181.144337583</v>
      </c>
    </row>
    <row r="26" spans="2:8" x14ac:dyDescent="0.2">
      <c r="B26" t="s">
        <v>37</v>
      </c>
      <c r="C26" s="3">
        <f t="array" ref="C26">SKEW(IF(NOT(ISBLANK(insurance!$G$2:$G$1339)),IF(insurance!$D$2:$D$1339=0,insurance!$G$2:$G$1339)))</f>
        <v>1.5384149256935145</v>
      </c>
      <c r="D26" s="3">
        <f t="array" ref="D26">SKEW(IF(NOT(ISBLANK(insurance!$G$2:$G$1339)),IF(insurance!$D$2:$D$1339=1,insurance!$G$2:$G$1339)))</f>
        <v>1.6766374118754144</v>
      </c>
      <c r="E26" s="3">
        <f t="array" ref="E26">SKEW(IF(NOT(ISBLANK(insurance!$G$2:$G$1339)),IF(insurance!$D$2:$D$1339=2,insurance!$G$2:$G$1339)))</f>
        <v>1.2940314989074997</v>
      </c>
      <c r="F26" s="3">
        <f t="array" ref="F26">SKEW(IF(NOT(ISBLANK(insurance!$G$2:$G$1339)),IF(insurance!$D$2:$D$1339=3,insurance!$G$2:$G$1339)))</f>
        <v>1.4732673185433931</v>
      </c>
      <c r="G26" s="3">
        <f t="array" ref="G26">SKEW(IF(NOT(ISBLANK(insurance!$G$2:$G$1339)),IF(insurance!$D$2:$D$1339=4,insurance!$G$2:$G$1339)))</f>
        <v>1.646487674569268</v>
      </c>
      <c r="H26" s="3">
        <f t="array" ref="H26">SKEW(IF(NOT(ISBLANK(insurance!$G$2:$G$1339)),IF(insurance!$D$2:$D$1339=5,insurance!$G$2:$G$1339)))</f>
        <v>1.2440606152311751</v>
      </c>
    </row>
    <row r="27" spans="2:8" x14ac:dyDescent="0.2">
      <c r="B27" t="s">
        <v>38</v>
      </c>
      <c r="C27" s="3">
        <f t="array" ref="C27">KURT(IF(NOT(ISBLANK(insurance!$G$2:$G$1339)),IF(insurance!$D$2:$D$1339=0,insurance!$G$2:$G$1339)))</f>
        <v>1.9981128507471397</v>
      </c>
      <c r="D27" s="3">
        <f t="array" ref="D27">KURT(IF(NOT(ISBLANK(insurance!$G$2:$G$1339)),IF(insurance!$D$2:$D$1339=1,insurance!$G$2:$G$1339)))</f>
        <v>2.0536186685935944</v>
      </c>
      <c r="E27" s="3">
        <f t="array" ref="E27">KURT(IF(NOT(ISBLANK(insurance!$G$2:$G$1339)),IF(insurance!$D$2:$D$1339=2,insurance!$G$2:$G$1339)))</f>
        <v>0.41444822660295344</v>
      </c>
      <c r="F27" s="3">
        <f t="array" ref="F27">KURT(IF(NOT(ISBLANK(insurance!$G$2:$G$1339)),IF(insurance!$D$2:$D$1339=3,insurance!$G$2:$G$1339)))</f>
        <v>1.3495567370469392</v>
      </c>
      <c r="G27" s="3">
        <f t="array" ref="G27">KURT(IF(NOT(ISBLANK(insurance!$G$2:$G$1339)),IF(insurance!$D$2:$D$1339=4,insurance!$G$2:$G$1339)))</f>
        <v>2.7293382033226239</v>
      </c>
      <c r="H27" s="3">
        <f t="array" ref="H27">KURT(IF(NOT(ISBLANK(insurance!$G$2:$G$1339)),IF(insurance!$D$2:$D$1339=5,insurance!$G$2:$G$1339)))</f>
        <v>1.7280686545247237</v>
      </c>
    </row>
  </sheetData>
  <sortState xmlns:xlrd2="http://schemas.microsoft.com/office/spreadsheetml/2017/richdata2" ref="A29:A42">
    <sortCondition ref="A29"/>
  </sortState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2E1B-F910-4044-B72E-BCF6C96B6B97}">
  <dimension ref="A1:C27"/>
  <sheetViews>
    <sheetView workbookViewId="0"/>
  </sheetViews>
  <sheetFormatPr baseColWidth="10" defaultRowHeight="16" x14ac:dyDescent="0.2"/>
  <cols>
    <col min="2" max="2" width="14.83203125" customWidth="1"/>
    <col min="3" max="3" width="12.6640625" bestFit="1" customWidth="1"/>
  </cols>
  <sheetData>
    <row r="1" spans="1:3" x14ac:dyDescent="0.2">
      <c r="A1" s="1" t="s">
        <v>45</v>
      </c>
    </row>
    <row r="3" spans="1:3" x14ac:dyDescent="0.2">
      <c r="B3" t="s">
        <v>16</v>
      </c>
      <c r="C3" s="2" t="s">
        <v>6</v>
      </c>
    </row>
    <row r="4" spans="1:3" x14ac:dyDescent="0.2">
      <c r="B4" t="s">
        <v>17</v>
      </c>
      <c r="C4">
        <f>C5+C6</f>
        <v>1338</v>
      </c>
    </row>
    <row r="5" spans="1:3" x14ac:dyDescent="0.2">
      <c r="B5" t="s">
        <v>18</v>
      </c>
      <c r="C5">
        <f>COUNT(insurance!$G$2:$G$1339)</f>
        <v>1338</v>
      </c>
    </row>
    <row r="6" spans="1:3" x14ac:dyDescent="0.2">
      <c r="B6" t="s">
        <v>19</v>
      </c>
      <c r="C6">
        <f>COUNTBLANK(insurance!$G$2:$G$1339)</f>
        <v>0</v>
      </c>
    </row>
    <row r="8" spans="1:3" x14ac:dyDescent="0.2">
      <c r="B8" t="s">
        <v>20</v>
      </c>
    </row>
    <row r="9" spans="1:3" x14ac:dyDescent="0.2">
      <c r="B9" t="s">
        <v>21</v>
      </c>
      <c r="C9" s="3">
        <f>MIN(insurance!$G$2:$G$1339)</f>
        <v>1121.8739</v>
      </c>
    </row>
    <row r="10" spans="1:3" x14ac:dyDescent="0.2">
      <c r="B10" t="s">
        <v>22</v>
      </c>
      <c r="C10" s="3">
        <f>MAX(insurance!$G$2:$G$1339)</f>
        <v>63770.428010000003</v>
      </c>
    </row>
    <row r="11" spans="1:3" x14ac:dyDescent="0.2">
      <c r="B11" t="s">
        <v>23</v>
      </c>
      <c r="C11" s="3">
        <f>SUM(insurance!$G$2:$G$1339)</f>
        <v>17755824.990759</v>
      </c>
    </row>
    <row r="12" spans="1:3" x14ac:dyDescent="0.2">
      <c r="B12" t="s">
        <v>24</v>
      </c>
      <c r="C12" s="3">
        <f>AVERAGE(insurance!$G$2:$G$1339)</f>
        <v>13270.422265141257</v>
      </c>
    </row>
    <row r="13" spans="1:3" x14ac:dyDescent="0.2">
      <c r="B13" t="s">
        <v>25</v>
      </c>
      <c r="C13" s="3">
        <f>MEDIAN(insurance!$G$2:$G$1339)</f>
        <v>9382.0329999999994</v>
      </c>
    </row>
    <row r="14" spans="1:3" x14ac:dyDescent="0.2">
      <c r="B14" t="s">
        <v>26</v>
      </c>
      <c r="C14" s="3">
        <f>_xlfn.STDEV.S(insurance!$G$2:$G$1339)</f>
        <v>12110.01123669401</v>
      </c>
    </row>
    <row r="15" spans="1:3" x14ac:dyDescent="0.2">
      <c r="B15" t="s">
        <v>27</v>
      </c>
      <c r="C15" s="3">
        <f>AVEDEV(insurance!$G$2:$G$1339)</f>
        <v>9091.1265811370267</v>
      </c>
    </row>
    <row r="16" spans="1:3" x14ac:dyDescent="0.2">
      <c r="B16" t="s">
        <v>28</v>
      </c>
      <c r="C16" s="3">
        <f>QUARTILE(insurance!$G$2:$G$1339,1)</f>
        <v>4740.2871500000001</v>
      </c>
    </row>
    <row r="17" spans="2:3" x14ac:dyDescent="0.2">
      <c r="B17" t="s">
        <v>29</v>
      </c>
      <c r="C17" s="3">
        <f>QUARTILE(insurance!$G$2:$G$1339,3)</f>
        <v>16639.912515</v>
      </c>
    </row>
    <row r="18" spans="2:3" x14ac:dyDescent="0.2">
      <c r="B18" t="s">
        <v>30</v>
      </c>
      <c r="C18" s="3">
        <f>C17-C16</f>
        <v>11899.625365</v>
      </c>
    </row>
    <row r="19" spans="2:3" x14ac:dyDescent="0.2">
      <c r="B19" t="s">
        <v>31</v>
      </c>
      <c r="C19" s="3">
        <f>PERCENTILE(insurance!$G$2:$G$1339,0.01)</f>
        <v>1252.97273</v>
      </c>
    </row>
    <row r="20" spans="2:3" x14ac:dyDescent="0.2">
      <c r="B20" t="s">
        <v>32</v>
      </c>
      <c r="C20" s="3">
        <f>PERCENTILE(insurance!$G$2:$G$1339,0.05)</f>
        <v>1757.7534000000001</v>
      </c>
    </row>
    <row r="21" spans="2:3" x14ac:dyDescent="0.2">
      <c r="B21" t="s">
        <v>33</v>
      </c>
      <c r="C21" s="3">
        <f>PERCENTILE(insurance!$G$2:$G$1339,0.95)</f>
        <v>41181.827787499926</v>
      </c>
    </row>
    <row r="22" spans="2:3" x14ac:dyDescent="0.2">
      <c r="B22" t="s">
        <v>34</v>
      </c>
      <c r="C22" s="3">
        <f>PERCENTILE(insurance!$G$2:$G$1339,0.99)</f>
        <v>48537.480726000002</v>
      </c>
    </row>
    <row r="24" spans="2:3" x14ac:dyDescent="0.2">
      <c r="B24" t="s">
        <v>35</v>
      </c>
    </row>
    <row r="25" spans="2:3" x14ac:dyDescent="0.2">
      <c r="B25" t="s">
        <v>36</v>
      </c>
      <c r="C25" s="4">
        <f>_xlfn.VAR.S(insurance!$G$2:$G$1339)</f>
        <v>146652372.15285519</v>
      </c>
    </row>
    <row r="26" spans="2:3" x14ac:dyDescent="0.2">
      <c r="B26" t="s">
        <v>37</v>
      </c>
      <c r="C26" s="3">
        <f>SKEW(insurance!$G$2:$G$1339)</f>
        <v>1.515879658024041</v>
      </c>
    </row>
    <row r="27" spans="2:3" x14ac:dyDescent="0.2">
      <c r="B27" t="s">
        <v>38</v>
      </c>
      <c r="C27" s="3">
        <f>KURT(insurance!$G$2:$G$1339)</f>
        <v>1.6062986532968111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insurance</vt:lpstr>
      <vt:lpstr>insurance_dadm</vt:lpstr>
      <vt:lpstr>insurance_Summ1</vt:lpstr>
      <vt:lpstr>insurance_Summ2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 S. (2435922)</dc:creator>
  <cp:lastModifiedBy>KULKARNI S. (2435922)</cp:lastModifiedBy>
  <dcterms:created xsi:type="dcterms:W3CDTF">2025-08-06T19:50:26Z</dcterms:created>
  <dcterms:modified xsi:type="dcterms:W3CDTF">2025-08-06T19:50:54Z</dcterms:modified>
</cp:coreProperties>
</file>